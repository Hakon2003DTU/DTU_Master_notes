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Q:\Courses\1210X-Quantitative-methods-to-assess-sustainability(PF)\0 - General\Assessment\Multiple choice exam\Questions\W5 - Economic dimensions\Data sheets\"/>
    </mc:Choice>
  </mc:AlternateContent>
  <xr:revisionPtr revIDLastSave="0" documentId="13_ncr:1_{5544C464-2D5C-42E3-91ED-AD3DCE2B89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fe cycle costing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8" l="1"/>
  <c r="S21" i="8"/>
  <c r="R20" i="8"/>
  <c r="Q19" i="8"/>
  <c r="Q22" i="8" s="1"/>
  <c r="P22" i="8"/>
  <c r="O21" i="8"/>
  <c r="N20" i="8"/>
  <c r="N22" i="8"/>
  <c r="L17" i="8"/>
  <c r="L16" i="8"/>
  <c r="C24" i="8"/>
  <c r="D24" i="8" s="1"/>
  <c r="D74" i="8" l="1"/>
  <c r="G74" i="8"/>
  <c r="B81" i="8" l="1"/>
  <c r="D81" i="8" s="1"/>
  <c r="G81" i="8" s="1"/>
  <c r="P18" i="8" s="1"/>
  <c r="D79" i="8"/>
  <c r="G79" i="8" s="1"/>
  <c r="D77" i="8"/>
  <c r="G77" i="8" s="1"/>
  <c r="D76" i="8"/>
  <c r="G76" i="8" s="1"/>
  <c r="P16" i="8" s="1"/>
  <c r="B73" i="8"/>
  <c r="D73" i="8" s="1"/>
  <c r="G73" i="8" s="1"/>
  <c r="B72" i="8"/>
  <c r="D72" i="8" s="1"/>
  <c r="G72" i="8" s="1"/>
  <c r="B70" i="8"/>
  <c r="D70" i="8" s="1"/>
  <c r="G70" i="8" s="1"/>
  <c r="B69" i="8"/>
  <c r="D69" i="8" s="1"/>
  <c r="G69" i="8" s="1"/>
  <c r="P14" i="8" s="1"/>
  <c r="P17" i="8" l="1"/>
  <c r="P15" i="8"/>
  <c r="G83" i="8"/>
  <c r="H72" i="8" s="1"/>
  <c r="H70" i="8"/>
  <c r="H77" i="8"/>
  <c r="H76" i="8"/>
  <c r="H79" i="8"/>
  <c r="H81" i="8"/>
  <c r="H69" i="8" l="1"/>
  <c r="H73" i="8"/>
  <c r="R15" i="8"/>
  <c r="S15" i="8"/>
  <c r="Q15" i="8"/>
  <c r="H74" i="8"/>
  <c r="H83" i="8"/>
  <c r="G85" i="8"/>
  <c r="B53" i="8" l="1"/>
  <c r="D53" i="8" s="1"/>
  <c r="G53" i="8" s="1"/>
  <c r="D51" i="8"/>
  <c r="G51" i="8" s="1"/>
  <c r="D49" i="8"/>
  <c r="G49" i="8" s="1"/>
  <c r="D48" i="8"/>
  <c r="G48" i="8" s="1"/>
  <c r="B46" i="8"/>
  <c r="D46" i="8" s="1"/>
  <c r="G46" i="8" s="1"/>
  <c r="B45" i="8"/>
  <c r="D45" i="8" s="1"/>
  <c r="G45" i="8" s="1"/>
  <c r="L15" i="8" s="1"/>
  <c r="B43" i="8"/>
  <c r="D43" i="8" s="1"/>
  <c r="G43" i="8" s="1"/>
  <c r="B42" i="8"/>
  <c r="D42" i="8" s="1"/>
  <c r="G42" i="8" s="1"/>
  <c r="L14" i="8" s="1"/>
  <c r="B26" i="8"/>
  <c r="D26" i="8" s="1"/>
  <c r="G26" i="8" s="1"/>
  <c r="K18" i="8" s="1"/>
  <c r="G24" i="8"/>
  <c r="D22" i="8"/>
  <c r="G22" i="8" s="1"/>
  <c r="D21" i="8"/>
  <c r="G21" i="8" s="1"/>
  <c r="B19" i="8"/>
  <c r="D19" i="8" s="1"/>
  <c r="G19" i="8" s="1"/>
  <c r="B18" i="8"/>
  <c r="D18" i="8" s="1"/>
  <c r="G18" i="8" s="1"/>
  <c r="B16" i="8"/>
  <c r="D16" i="8" s="1"/>
  <c r="G16" i="8" s="1"/>
  <c r="B15" i="8"/>
  <c r="S14" i="8" l="1"/>
  <c r="R14" i="8"/>
  <c r="Q14" i="8"/>
  <c r="O15" i="8"/>
  <c r="M15" i="8"/>
  <c r="D15" i="8"/>
  <c r="G15" i="8" s="1"/>
  <c r="K16" i="8"/>
  <c r="K17" i="8"/>
  <c r="K15" i="8"/>
  <c r="G55" i="8"/>
  <c r="G57" i="8" s="1"/>
  <c r="L18" i="8"/>
  <c r="M16" i="8" l="1"/>
  <c r="M22" i="8" s="1"/>
  <c r="M18" i="8"/>
  <c r="S18" i="8"/>
  <c r="Q18" i="8"/>
  <c r="R18" i="8"/>
  <c r="R16" i="8"/>
  <c r="Q16" i="8"/>
  <c r="S16" i="8"/>
  <c r="H49" i="8"/>
  <c r="H84" i="8"/>
  <c r="H51" i="8"/>
  <c r="K14" i="8"/>
  <c r="K22" i="8" s="1"/>
  <c r="G28" i="8"/>
  <c r="H28" i="8" s="1"/>
  <c r="H42" i="8"/>
  <c r="H43" i="8"/>
  <c r="H55" i="8"/>
  <c r="N14" i="8"/>
  <c r="M14" i="8"/>
  <c r="O14" i="8"/>
  <c r="L22" i="8"/>
  <c r="H48" i="8"/>
  <c r="H53" i="8"/>
  <c r="H45" i="8"/>
  <c r="O16" i="8"/>
  <c r="N16" i="8"/>
  <c r="N15" i="8"/>
  <c r="H46" i="8"/>
  <c r="R22" i="8" l="1"/>
  <c r="H56" i="8"/>
  <c r="S22" i="8"/>
  <c r="O18" i="8"/>
  <c r="O22" i="8" s="1"/>
  <c r="N18" i="8"/>
  <c r="H22" i="8"/>
  <c r="H26" i="8"/>
  <c r="H21" i="8"/>
  <c r="H15" i="8"/>
  <c r="G30" i="8"/>
  <c r="H19" i="8"/>
  <c r="H16" i="8"/>
  <c r="H24" i="8"/>
  <c r="H18" i="8"/>
  <c r="H29" i="8" l="1"/>
</calcChain>
</file>

<file path=xl/sharedStrings.xml><?xml version="1.0" encoding="utf-8"?>
<sst xmlns="http://schemas.openxmlformats.org/spreadsheetml/2006/main" count="199" uniqueCount="72">
  <si>
    <t>Unit</t>
  </si>
  <si>
    <t>kWh</t>
  </si>
  <si>
    <t>Total</t>
  </si>
  <si>
    <t>-</t>
  </si>
  <si>
    <t>Quantity per FU</t>
  </si>
  <si>
    <t>Electric charging - photovoltaic</t>
  </si>
  <si>
    <t>Electric charging - wind</t>
  </si>
  <si>
    <t>Electric charging - hard coal</t>
  </si>
  <si>
    <t>km</t>
  </si>
  <si>
    <t>per FU</t>
  </si>
  <si>
    <t>Supply chain petrol, low-sulfur</t>
  </si>
  <si>
    <t>Quantity original unit</t>
  </si>
  <si>
    <t>per vehicle over lifespan</t>
  </si>
  <si>
    <t>per V-km</t>
  </si>
  <si>
    <t>Electric Vehicle - Wind</t>
  </si>
  <si>
    <t>Electric Vehicle - Photovoltaic</t>
  </si>
  <si>
    <t>p</t>
  </si>
  <si>
    <t>1 vehicle</t>
  </si>
  <si>
    <t>Resale value - end of life</t>
  </si>
  <si>
    <t>L</t>
  </si>
  <si>
    <t>Variable cost Fuel - Use phase</t>
  </si>
  <si>
    <t>Tires change every 20000 km</t>
  </si>
  <si>
    <t>maintenance per 10000km</t>
  </si>
  <si>
    <t>Variable cost maintenance</t>
  </si>
  <si>
    <t>Taxes for immatriculation per year</t>
  </si>
  <si>
    <t>Insurance per year</t>
  </si>
  <si>
    <t>annual purchase</t>
  </si>
  <si>
    <t>Fixed annual costs</t>
  </si>
  <si>
    <t>Tax on vehicle at purchase</t>
  </si>
  <si>
    <t>Cost relevant distance</t>
  </si>
  <si>
    <t>Purchase</t>
  </si>
  <si>
    <t>fraction costs</t>
  </si>
  <si>
    <t>Cost per FU [Euro/V-km]</t>
  </si>
  <si>
    <t>Costs</t>
  </si>
  <si>
    <t>Vehicle lifetime before resale</t>
  </si>
  <si>
    <t>km until change</t>
  </si>
  <si>
    <t>Variabl cost maintenance</t>
  </si>
  <si>
    <t xml:space="preserve">Resale </t>
  </si>
  <si>
    <t>per year</t>
  </si>
  <si>
    <t>km/yr</t>
  </si>
  <si>
    <t>Electric Vehicle</t>
  </si>
  <si>
    <t>Petrol Vehicle</t>
  </si>
  <si>
    <t>Euro/V-km</t>
  </si>
  <si>
    <t xml:space="preserve">Conversion rate </t>
  </si>
  <si>
    <t>Kr/Euro</t>
  </si>
  <si>
    <t>Total DKK</t>
  </si>
  <si>
    <t>DKK/V-km</t>
  </si>
  <si>
    <t>Kr/V-km</t>
  </si>
  <si>
    <t>Electricity consumption</t>
  </si>
  <si>
    <t>Electric Vehicle - hard coal</t>
  </si>
  <si>
    <t>Process</t>
  </si>
  <si>
    <t>Functional Unit:</t>
  </si>
  <si>
    <t>1 vehicle - km</t>
  </si>
  <si>
    <t>System 1: Gasoline car</t>
  </si>
  <si>
    <t>Life time of Gasoline car</t>
  </si>
  <si>
    <t>System 2: Electric car</t>
  </si>
  <si>
    <t>Life cycle costing tool</t>
  </si>
  <si>
    <t>years</t>
  </si>
  <si>
    <t>Cost/Unit  [Euro/Unit]</t>
  </si>
  <si>
    <t>Transporting passenger and/or cargo safely/comfortably in a vehicle in Denmark 50 km per day, for 5 years</t>
  </si>
  <si>
    <t>System 3: Electric car - leasing</t>
  </si>
  <si>
    <t>1 vehicle (3 times new leasing)</t>
  </si>
  <si>
    <t>Leasing 3x3+1 years</t>
  </si>
  <si>
    <t>Electric Vehicle - Leasing</t>
  </si>
  <si>
    <t>Electric Vehicle - Leasing - Wind</t>
  </si>
  <si>
    <t>Electric Vehicle - Leasing - Photovoltaic</t>
  </si>
  <si>
    <t>Electric Vehicle - Leasing - hard coal</t>
  </si>
  <si>
    <t>Life time of car</t>
  </si>
  <si>
    <t>Life time of  car</t>
  </si>
  <si>
    <t>Data</t>
  </si>
  <si>
    <t>Calculation basis</t>
  </si>
  <si>
    <t>Approximate relative price by soure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</si>
</sst>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_ &quot;CHF&quot;\ * #,##0.00_ ;_ &quot;CHF&quot;\ * \-#,##0.00_ ;_ &quot;CHF&quot;\ * &quot;-&quot;??_ ;_ @_ "/>
    <numFmt numFmtId="167" formatCode="0.0000"/>
  </numFmts>
  <fonts count="15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</font>
    <font>
      <sz val="11"/>
      <color theme="1"/>
      <name val="Helvetica LT Pro"/>
      <family val="2"/>
    </font>
    <font>
      <sz val="11"/>
      <color theme="1"/>
      <name val="Calibri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6"/>
      <color theme="0"/>
      <name val="Arial"/>
      <family val="2"/>
    </font>
    <font>
      <b/>
      <sz val="36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6"/>
      <color rgb="FFC00000"/>
      <name val="Arial"/>
      <family val="2"/>
    </font>
    <font>
      <b/>
      <sz val="26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6" fontId="4" fillId="0" borderId="0"/>
  </cellStyleXfs>
  <cellXfs count="80">
    <xf numFmtId="0" fontId="0" fillId="0" borderId="0" xfId="0"/>
    <xf numFmtId="11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4" xfId="0" applyFont="1" applyBorder="1"/>
    <xf numFmtId="0" fontId="6" fillId="0" borderId="0" xfId="0" applyFont="1"/>
    <xf numFmtId="165" fontId="6" fillId="0" borderId="0" xfId="0" applyNumberFormat="1" applyFont="1"/>
    <xf numFmtId="0" fontId="6" fillId="0" borderId="9" xfId="0" applyFont="1" applyBorder="1"/>
    <xf numFmtId="0" fontId="6" fillId="0" borderId="9" xfId="0" applyFont="1" applyBorder="1" applyAlignment="1">
      <alignment horizontal="center"/>
    </xf>
    <xf numFmtId="0" fontId="6" fillId="0" borderId="15" xfId="0" applyFont="1" applyBorder="1"/>
    <xf numFmtId="164" fontId="6" fillId="0" borderId="18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0" xfId="0" applyFont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2" xfId="0" applyFont="1" applyBorder="1"/>
    <xf numFmtId="164" fontId="6" fillId="3" borderId="12" xfId="0" applyNumberFormat="1" applyFont="1" applyFill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3" borderId="12" xfId="0" applyFont="1" applyFill="1" applyBorder="1"/>
    <xf numFmtId="164" fontId="6" fillId="0" borderId="12" xfId="0" applyNumberFormat="1" applyFont="1" applyBorder="1" applyAlignment="1">
      <alignment horizontal="center"/>
    </xf>
    <xf numFmtId="167" fontId="6" fillId="0" borderId="12" xfId="0" applyNumberFormat="1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2" fontId="6" fillId="0" borderId="12" xfId="0" applyNumberFormat="1" applyFont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6" fillId="0" borderId="8" xfId="0" applyFont="1" applyBorder="1"/>
    <xf numFmtId="11" fontId="6" fillId="0" borderId="4" xfId="0" applyNumberFormat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64" fontId="6" fillId="0" borderId="0" xfId="0" applyNumberFormat="1" applyFont="1"/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165" fontId="5" fillId="0" borderId="0" xfId="0" applyNumberFormat="1" applyFont="1" applyAlignment="1">
      <alignment wrapText="1"/>
    </xf>
    <xf numFmtId="164" fontId="7" fillId="0" borderId="5" xfId="0" applyNumberFormat="1" applyFont="1" applyBorder="1" applyAlignment="1">
      <alignment horizontal="center"/>
    </xf>
    <xf numFmtId="0" fontId="8" fillId="7" borderId="9" xfId="0" applyFont="1" applyFill="1" applyBorder="1"/>
    <xf numFmtId="0" fontId="10" fillId="2" borderId="19" xfId="0" applyFont="1" applyFill="1" applyBorder="1" applyAlignment="1">
      <alignment horizontal="left"/>
    </xf>
    <xf numFmtId="0" fontId="11" fillId="2" borderId="20" xfId="0" applyFont="1" applyFill="1" applyBorder="1" applyAlignment="1">
      <alignment horizontal="left"/>
    </xf>
    <xf numFmtId="0" fontId="11" fillId="2" borderId="21" xfId="0" applyFont="1" applyFill="1" applyBorder="1" applyAlignment="1">
      <alignment horizontal="left"/>
    </xf>
    <xf numFmtId="0" fontId="13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2" fillId="8" borderId="9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2" fillId="6" borderId="26" xfId="0" applyFont="1" applyFill="1" applyBorder="1" applyAlignment="1">
      <alignment horizontal="center" vertical="center" wrapText="1"/>
    </xf>
    <xf numFmtId="165" fontId="2" fillId="6" borderId="27" xfId="0" applyNumberFormat="1" applyFont="1" applyFill="1" applyBorder="1" applyAlignment="1">
      <alignment horizontal="center" vertical="center" wrapText="1"/>
    </xf>
    <xf numFmtId="11" fontId="1" fillId="4" borderId="9" xfId="0" applyNumberFormat="1" applyFont="1" applyFill="1" applyBorder="1" applyAlignment="1">
      <alignment horizontal="center"/>
    </xf>
    <xf numFmtId="165" fontId="1" fillId="4" borderId="9" xfId="0" applyNumberFormat="1" applyFont="1" applyFill="1" applyBorder="1" applyAlignment="1">
      <alignment horizontal="center"/>
    </xf>
    <xf numFmtId="10" fontId="1" fillId="4" borderId="9" xfId="0" applyNumberFormat="1" applyFont="1" applyFill="1" applyBorder="1" applyAlignment="1">
      <alignment horizontal="center"/>
    </xf>
    <xf numFmtId="2" fontId="1" fillId="4" borderId="9" xfId="0" applyNumberFormat="1" applyFont="1" applyFill="1" applyBorder="1" applyAlignment="1">
      <alignment horizontal="center"/>
    </xf>
    <xf numFmtId="11" fontId="6" fillId="0" borderId="9" xfId="0" applyNumberFormat="1" applyFont="1" applyBorder="1" applyAlignment="1">
      <alignment horizontal="center"/>
    </xf>
    <xf numFmtId="0" fontId="11" fillId="2" borderId="28" xfId="0" applyFont="1" applyFill="1" applyBorder="1" applyAlignment="1">
      <alignment horizontal="left" wrapText="1"/>
    </xf>
    <xf numFmtId="0" fontId="1" fillId="4" borderId="9" xfId="0" applyFont="1" applyFill="1" applyBorder="1"/>
    <xf numFmtId="0" fontId="1" fillId="4" borderId="9" xfId="0" applyFont="1" applyFill="1" applyBorder="1" applyAlignment="1">
      <alignment horizontal="center"/>
    </xf>
    <xf numFmtId="164" fontId="1" fillId="4" borderId="9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11" fontId="6" fillId="10" borderId="0" xfId="0" applyNumberFormat="1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7" borderId="13" xfId="0" applyFont="1" applyFill="1" applyBorder="1"/>
    <xf numFmtId="0" fontId="8" fillId="7" borderId="11" xfId="0" applyFont="1" applyFill="1" applyBorder="1"/>
    <xf numFmtId="0" fontId="8" fillId="7" borderId="12" xfId="0" applyFont="1" applyFill="1" applyBorder="1"/>
    <xf numFmtId="0" fontId="1" fillId="0" borderId="15" xfId="0" applyFont="1" applyBorder="1"/>
    <xf numFmtId="0" fontId="12" fillId="5" borderId="0" xfId="0" applyFont="1" applyFill="1"/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9" fillId="9" borderId="0" xfId="0" applyFont="1" applyFill="1" applyAlignment="1">
      <alignment horizontal="center"/>
    </xf>
  </cellXfs>
  <cellStyles count="3">
    <cellStyle name="ecoinvent 1" xfId="2" xr:uid="{00000000-0005-0000-0000-000000000000}"/>
    <cellStyle name="Hyperlink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B7EFEF"/>
      <color rgb="FFE4B0D8"/>
      <color rgb="FFFF9999"/>
      <color rgb="FF3ACB81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Comparison of life cycle</a:t>
            </a:r>
            <a:r>
              <a:rPr lang="en-US" sz="2400" baseline="0"/>
              <a:t> costs</a:t>
            </a:r>
            <a:endParaRPr lang="en-US" sz="2400"/>
          </a:p>
        </c:rich>
      </c:tx>
      <c:layout>
        <c:manualLayout>
          <c:xMode val="edge"/>
          <c:yMode val="edge"/>
          <c:x val="0.29228951470251702"/>
          <c:y val="2.54535041200243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91226096737907"/>
          <c:y val="8.5538003514023561E-2"/>
          <c:w val="0.8049463067116609"/>
          <c:h val="0.624050906343318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'Life cycle costing'!$J$14</c:f>
              <c:strCache>
                <c:ptCount val="1"/>
                <c:pt idx="0">
                  <c:v>Purchase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'Life cycle costing'!$K$13:$S$13</c:f>
              <c:strCache>
                <c:ptCount val="9"/>
                <c:pt idx="0">
                  <c:v>Petrol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hard coal</c:v>
                </c:pt>
                <c:pt idx="5">
                  <c:v>Electric Vehicle - Leasing</c:v>
                </c:pt>
                <c:pt idx="6">
                  <c:v>Electric Vehicle - Leasing - Wind</c:v>
                </c:pt>
                <c:pt idx="7">
                  <c:v>Electric Vehicle - Leasing - Photovoltaic</c:v>
                </c:pt>
                <c:pt idx="8">
                  <c:v>Electric Vehicle - Leasing - hard coal</c:v>
                </c:pt>
              </c:strCache>
            </c:strRef>
          </c:cat>
          <c:val>
            <c:numRef>
              <c:f>'Life cycle costing'!$K$14:$S$14</c:f>
              <c:numCache>
                <c:formatCode>0.000</c:formatCode>
                <c:ptCount val="9"/>
                <c:pt idx="0">
                  <c:v>0.21333333333333335</c:v>
                </c:pt>
                <c:pt idx="1">
                  <c:v>0.22222222222222221</c:v>
                </c:pt>
                <c:pt idx="2">
                  <c:v>0.22222222222222221</c:v>
                </c:pt>
                <c:pt idx="3">
                  <c:v>0.22222222222222221</c:v>
                </c:pt>
                <c:pt idx="4">
                  <c:v>0.22222222222222221</c:v>
                </c:pt>
                <c:pt idx="5">
                  <c:v>0.22222222222222221</c:v>
                </c:pt>
                <c:pt idx="6">
                  <c:v>0.22222222222222221</c:v>
                </c:pt>
                <c:pt idx="7">
                  <c:v>0.22222222222222221</c:v>
                </c:pt>
                <c:pt idx="8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1-4C15-8F02-616AE0CF88B8}"/>
            </c:ext>
          </c:extLst>
        </c:ser>
        <c:ser>
          <c:idx val="1"/>
          <c:order val="1"/>
          <c:tx>
            <c:strRef>
              <c:f>'Life cycle costing'!$J$15</c:f>
              <c:strCache>
                <c:ptCount val="1"/>
                <c:pt idx="0">
                  <c:v>Fixed annual 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'Life cycle costing'!$K$13:$S$13</c:f>
              <c:strCache>
                <c:ptCount val="9"/>
                <c:pt idx="0">
                  <c:v>Petrol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hard coal</c:v>
                </c:pt>
                <c:pt idx="5">
                  <c:v>Electric Vehicle - Leasing</c:v>
                </c:pt>
                <c:pt idx="6">
                  <c:v>Electric Vehicle - Leasing - Wind</c:v>
                </c:pt>
                <c:pt idx="7">
                  <c:v>Electric Vehicle - Leasing - Photovoltaic</c:v>
                </c:pt>
                <c:pt idx="8">
                  <c:v>Electric Vehicle - Leasing - hard coal</c:v>
                </c:pt>
              </c:strCache>
            </c:strRef>
          </c:cat>
          <c:val>
            <c:numRef>
              <c:f>'Life cycle costing'!$K$15:$S$15</c:f>
              <c:numCache>
                <c:formatCode>0.000</c:formatCode>
                <c:ptCount val="9"/>
                <c:pt idx="0">
                  <c:v>4.6666666666666669E-2</c:v>
                </c:pt>
                <c:pt idx="1">
                  <c:v>3.5555555555555556E-2</c:v>
                </c:pt>
                <c:pt idx="2">
                  <c:v>3.5555555555555556E-2</c:v>
                </c:pt>
                <c:pt idx="3">
                  <c:v>3.5555555555555556E-2</c:v>
                </c:pt>
                <c:pt idx="4">
                  <c:v>3.5555555555555556E-2</c:v>
                </c:pt>
                <c:pt idx="5">
                  <c:v>0.42666666666666669</c:v>
                </c:pt>
                <c:pt idx="6">
                  <c:v>0.42666666666666669</c:v>
                </c:pt>
                <c:pt idx="7">
                  <c:v>0.42666666666666669</c:v>
                </c:pt>
                <c:pt idx="8">
                  <c:v>0.42666666666666669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1-4C15-8F02-616AE0CF88B8}"/>
            </c:ext>
          </c:extLst>
        </c:ser>
        <c:ser>
          <c:idx val="2"/>
          <c:order val="2"/>
          <c:tx>
            <c:strRef>
              <c:f>'Life cycle costing'!$J$16</c:f>
              <c:strCache>
                <c:ptCount val="1"/>
                <c:pt idx="0">
                  <c:v>Variable cost maintenance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'Life cycle costing'!$K$13:$S$13</c:f>
              <c:strCache>
                <c:ptCount val="9"/>
                <c:pt idx="0">
                  <c:v>Petrol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hard coal</c:v>
                </c:pt>
                <c:pt idx="5">
                  <c:v>Electric Vehicle - Leasing</c:v>
                </c:pt>
                <c:pt idx="6">
                  <c:v>Electric Vehicle - Leasing - Wind</c:v>
                </c:pt>
                <c:pt idx="7">
                  <c:v>Electric Vehicle - Leasing - Photovoltaic</c:v>
                </c:pt>
                <c:pt idx="8">
                  <c:v>Electric Vehicle - Leasing - hard coal</c:v>
                </c:pt>
              </c:strCache>
            </c:strRef>
          </c:cat>
          <c:val>
            <c:numRef>
              <c:f>'Life cycle costing'!$K$16:$S$16</c:f>
              <c:numCache>
                <c:formatCode>0.0000</c:formatCode>
                <c:ptCount val="9"/>
                <c:pt idx="0">
                  <c:v>0.105</c:v>
                </c:pt>
                <c:pt idx="1">
                  <c:v>6.0000000000000005E-2</c:v>
                </c:pt>
                <c:pt idx="2">
                  <c:v>6.0000000000000005E-2</c:v>
                </c:pt>
                <c:pt idx="3">
                  <c:v>6.0000000000000005E-2</c:v>
                </c:pt>
                <c:pt idx="4">
                  <c:v>6.0000000000000005E-2</c:v>
                </c:pt>
                <c:pt idx="5">
                  <c:v>6.0000000000000005E-2</c:v>
                </c:pt>
                <c:pt idx="6">
                  <c:v>6.0000000000000005E-2</c:v>
                </c:pt>
                <c:pt idx="7">
                  <c:v>6.0000000000000005E-2</c:v>
                </c:pt>
                <c:pt idx="8">
                  <c:v>6.0000000000000005E-2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D1-4C15-8F02-616AE0CF88B8}"/>
            </c:ext>
          </c:extLst>
        </c:ser>
        <c:ser>
          <c:idx val="5"/>
          <c:order val="3"/>
          <c:tx>
            <c:strRef>
              <c:f>'Life cycle costing'!$J$17</c:f>
              <c:strCache>
                <c:ptCount val="1"/>
                <c:pt idx="0">
                  <c:v>Variable cost Fuel - Use phase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'Life cycle costing'!$K$13:$S$13</c:f>
              <c:strCache>
                <c:ptCount val="9"/>
                <c:pt idx="0">
                  <c:v>Petrol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hard coal</c:v>
                </c:pt>
                <c:pt idx="5">
                  <c:v>Electric Vehicle - Leasing</c:v>
                </c:pt>
                <c:pt idx="6">
                  <c:v>Electric Vehicle - Leasing - Wind</c:v>
                </c:pt>
                <c:pt idx="7">
                  <c:v>Electric Vehicle - Leasing - Photovoltaic</c:v>
                </c:pt>
                <c:pt idx="8">
                  <c:v>Electric Vehicle - Leasing - hard coal</c:v>
                </c:pt>
              </c:strCache>
            </c:strRef>
          </c:cat>
          <c:val>
            <c:numRef>
              <c:f>'Life cycle costing'!$K$17:$S$17</c:f>
              <c:numCache>
                <c:formatCode>0.000</c:formatCode>
                <c:ptCount val="9"/>
                <c:pt idx="0">
                  <c:v>0.10596547619047617</c:v>
                </c:pt>
                <c:pt idx="1">
                  <c:v>5.2000000000000005E-2</c:v>
                </c:pt>
                <c:pt idx="5">
                  <c:v>5.2000000000000005E-2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D1-4C15-8F02-616AE0CF88B8}"/>
            </c:ext>
          </c:extLst>
        </c:ser>
        <c:ser>
          <c:idx val="6"/>
          <c:order val="4"/>
          <c:tx>
            <c:strRef>
              <c:f>'Life cycle costing'!$J$18</c:f>
              <c:strCache>
                <c:ptCount val="1"/>
                <c:pt idx="0">
                  <c:v>Resale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'Life cycle costing'!$K$13:$S$13</c:f>
              <c:strCache>
                <c:ptCount val="9"/>
                <c:pt idx="0">
                  <c:v>Petrol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hard coal</c:v>
                </c:pt>
                <c:pt idx="5">
                  <c:v>Electric Vehicle - Leasing</c:v>
                </c:pt>
                <c:pt idx="6">
                  <c:v>Electric Vehicle - Leasing - Wind</c:v>
                </c:pt>
                <c:pt idx="7">
                  <c:v>Electric Vehicle - Leasing - Photovoltaic</c:v>
                </c:pt>
                <c:pt idx="8">
                  <c:v>Electric Vehicle - Leasing - hard coal</c:v>
                </c:pt>
              </c:strCache>
            </c:strRef>
          </c:cat>
          <c:val>
            <c:numRef>
              <c:f>'Life cycle costing'!$K$18:$S$18</c:f>
              <c:numCache>
                <c:formatCode>0.00</c:formatCode>
                <c:ptCount val="9"/>
                <c:pt idx="0">
                  <c:v>-0.02</c:v>
                </c:pt>
                <c:pt idx="1">
                  <c:v>-1.3333333333333332E-2</c:v>
                </c:pt>
                <c:pt idx="2">
                  <c:v>-1.3333333333333332E-2</c:v>
                </c:pt>
                <c:pt idx="3">
                  <c:v>-1.3333333333333332E-2</c:v>
                </c:pt>
                <c:pt idx="4">
                  <c:v>-1.3333333333333332E-2</c:v>
                </c:pt>
                <c:pt idx="5">
                  <c:v>-1.3333333333333332E-2</c:v>
                </c:pt>
                <c:pt idx="6">
                  <c:v>-1.3333333333333332E-2</c:v>
                </c:pt>
                <c:pt idx="7">
                  <c:v>-1.3333333333333332E-2</c:v>
                </c:pt>
                <c:pt idx="8">
                  <c:v>-1.3333333333333332E-2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D1-4C15-8F02-616AE0CF88B8}"/>
            </c:ext>
          </c:extLst>
        </c:ser>
        <c:ser>
          <c:idx val="7"/>
          <c:order val="5"/>
          <c:tx>
            <c:strRef>
              <c:f>'Life cycle costing'!$J$19</c:f>
              <c:strCache>
                <c:ptCount val="1"/>
                <c:pt idx="0">
                  <c:v>Electric charging - wind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'Life cycle costing'!$K$13:$S$13</c:f>
              <c:strCache>
                <c:ptCount val="9"/>
                <c:pt idx="0">
                  <c:v>Petrol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hard coal</c:v>
                </c:pt>
                <c:pt idx="5">
                  <c:v>Electric Vehicle - Leasing</c:v>
                </c:pt>
                <c:pt idx="6">
                  <c:v>Electric Vehicle - Leasing - Wind</c:v>
                </c:pt>
                <c:pt idx="7">
                  <c:v>Electric Vehicle - Leasing - Photovoltaic</c:v>
                </c:pt>
                <c:pt idx="8">
                  <c:v>Electric Vehicle - Leasing - hard coal</c:v>
                </c:pt>
              </c:strCache>
            </c:strRef>
          </c:cat>
          <c:val>
            <c:numRef>
              <c:f>'Life cycle costing'!$K$19:$S$19</c:f>
              <c:numCache>
                <c:formatCode>0.00</c:formatCode>
                <c:ptCount val="9"/>
                <c:pt idx="2">
                  <c:v>3.1200000000000002E-2</c:v>
                </c:pt>
                <c:pt idx="6">
                  <c:v>3.1200000000000002E-2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D1-4C15-8F02-616AE0CF88B8}"/>
            </c:ext>
          </c:extLst>
        </c:ser>
        <c:ser>
          <c:idx val="3"/>
          <c:order val="6"/>
          <c:tx>
            <c:strRef>
              <c:f>'Life cycle costing'!$J$20</c:f>
              <c:strCache>
                <c:ptCount val="1"/>
                <c:pt idx="0">
                  <c:v>Electric charging - photovoltaic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'Life cycle costing'!$K$13:$S$13</c:f>
              <c:strCache>
                <c:ptCount val="9"/>
                <c:pt idx="0">
                  <c:v>Petrol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hard coal</c:v>
                </c:pt>
                <c:pt idx="5">
                  <c:v>Electric Vehicle - Leasing</c:v>
                </c:pt>
                <c:pt idx="6">
                  <c:v>Electric Vehicle - Leasing - Wind</c:v>
                </c:pt>
                <c:pt idx="7">
                  <c:v>Electric Vehicle - Leasing - Photovoltaic</c:v>
                </c:pt>
                <c:pt idx="8">
                  <c:v>Electric Vehicle - Leasing - hard coal</c:v>
                </c:pt>
              </c:strCache>
            </c:strRef>
          </c:cat>
          <c:val>
            <c:numRef>
              <c:f>'Life cycle costing'!$K$20:$S$20</c:f>
              <c:numCache>
                <c:formatCode>0.00</c:formatCode>
                <c:ptCount val="9"/>
                <c:pt idx="3">
                  <c:v>4.6800000000000008E-2</c:v>
                </c:pt>
                <c:pt idx="7">
                  <c:v>4.6800000000000008E-2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D1-4C15-8F02-616AE0CF88B8}"/>
            </c:ext>
          </c:extLst>
        </c:ser>
        <c:ser>
          <c:idx val="4"/>
          <c:order val="7"/>
          <c:tx>
            <c:strRef>
              <c:f>'Life cycle costing'!$J$21</c:f>
              <c:strCache>
                <c:ptCount val="1"/>
                <c:pt idx="0">
                  <c:v>Electric charging - hard 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'Life cycle costing'!$K$13:$S$13</c:f>
              <c:strCache>
                <c:ptCount val="9"/>
                <c:pt idx="0">
                  <c:v>Petrol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hard coal</c:v>
                </c:pt>
                <c:pt idx="5">
                  <c:v>Electric Vehicle - Leasing</c:v>
                </c:pt>
                <c:pt idx="6">
                  <c:v>Electric Vehicle - Leasing - Wind</c:v>
                </c:pt>
                <c:pt idx="7">
                  <c:v>Electric Vehicle - Leasing - Photovoltaic</c:v>
                </c:pt>
                <c:pt idx="8">
                  <c:v>Electric Vehicle - Leasing - hard coal</c:v>
                </c:pt>
              </c:strCache>
            </c:strRef>
          </c:cat>
          <c:val>
            <c:numRef>
              <c:f>'Life cycle costing'!$K$21:$S$21</c:f>
              <c:numCache>
                <c:formatCode>0.00</c:formatCode>
                <c:ptCount val="9"/>
                <c:pt idx="4">
                  <c:v>6.7600000000000007E-2</c:v>
                </c:pt>
                <c:pt idx="8">
                  <c:v>6.7600000000000007E-2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D1-4C15-8F02-616AE0CF8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3427504"/>
        <c:axId val="1272768928"/>
        <c:extLst>
          <c:ext xmlns:c15="http://schemas.microsoft.com/office/drawing/2012/chart" uri="{02D57815-91ED-43cb-92C2-25804820EDAC}">
            <c15:filteredBarSeries>
              <c15:ser>
                <c:idx val="8"/>
                <c:order val="8"/>
                <c:tx>
                  <c:v>Total</c:v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'Life cycle costing'!$K$13:$S$13</c15:sqref>
                        </c15:formulaRef>
                      </c:ext>
                    </c:extLst>
                    <c:strCache>
                      <c:ptCount val="9"/>
                      <c:pt idx="0">
                        <c:v>Petrol Vehicle</c:v>
                      </c:pt>
                      <c:pt idx="1">
                        <c:v>Electric Vehicle</c:v>
                      </c:pt>
                      <c:pt idx="2">
                        <c:v>Electric Vehicle - Wind</c:v>
                      </c:pt>
                      <c:pt idx="3">
                        <c:v>Electric Vehicle - Photovoltaic</c:v>
                      </c:pt>
                      <c:pt idx="4">
                        <c:v>Electric Vehicle - hard coal</c:v>
                      </c:pt>
                      <c:pt idx="5">
                        <c:v>Electric Vehicle - Leasing</c:v>
                      </c:pt>
                      <c:pt idx="6">
                        <c:v>Electric Vehicle - Leasing - Wind</c:v>
                      </c:pt>
                      <c:pt idx="7">
                        <c:v>Electric Vehicle - Leasing - Photovoltaic</c:v>
                      </c:pt>
                      <c:pt idx="8">
                        <c:v>Electric Vehicle - Leasing - hard coal</c:v>
                      </c:pt>
                    </c:strCache>
                  </c:strRef>
                </c:cat>
                <c:val>
                  <c:numLit>
                    <c:formatCode>General</c:formatCode>
                    <c:ptCount val="5"/>
                    <c:pt idx="0">
                      <c:v>0.45096547619047611</c:v>
                    </c:pt>
                    <c:pt idx="1">
                      <c:v>0.35644444444444445</c:v>
                    </c:pt>
                    <c:pt idx="2">
                      <c:v>0.30444444444444446</c:v>
                    </c:pt>
                    <c:pt idx="3">
                      <c:v>0.31777777777777777</c:v>
                    </c:pt>
                    <c:pt idx="4">
                      <c:v>0.31777777777777777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8-4AD1-4C15-8F02-616AE0CF88B8}"/>
                  </c:ext>
                </c:extLst>
              </c15:ser>
            </c15:filteredBarSeries>
          </c:ext>
        </c:extLst>
      </c:barChart>
      <c:catAx>
        <c:axId val="10034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8928"/>
        <c:crossesAt val="-5.000000000000001E-2"/>
        <c:auto val="1"/>
        <c:lblAlgn val="ctr"/>
        <c:lblOffset val="100"/>
        <c:noMultiLvlLbl val="0"/>
      </c:catAx>
      <c:valAx>
        <c:axId val="12727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 Costs [Euro/FU]</a:t>
                </a:r>
              </a:p>
            </c:rich>
          </c:tx>
          <c:layout>
            <c:manualLayout>
              <c:xMode val="edge"/>
              <c:yMode val="edge"/>
              <c:x val="3.4015276415878527E-4"/>
              <c:y val="0.25829136718346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2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152636703994091E-2"/>
          <c:y val="0.79742173347552958"/>
          <c:w val="0.98284736329600586"/>
          <c:h val="0.18095077805131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2791460</xdr:colOff>
      <xdr:row>29</xdr:row>
      <xdr:rowOff>181610</xdr:rowOff>
    </xdr:from>
    <xdr:to>
      <xdr:col>18</xdr:col>
      <xdr:colOff>190500</xdr:colOff>
      <xdr:row>66</xdr:row>
      <xdr:rowOff>326390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6"/>
  <sheetViews>
    <sheetView tabSelected="1" topLeftCell="A26" zoomScale="34" zoomScaleNormal="50" workbookViewId="0">
      <selection activeCell="I40" sqref="I40"/>
    </sheetView>
  </sheetViews>
  <sheetFormatPr defaultColWidth="30.7265625" defaultRowHeight="20"/>
  <cols>
    <col min="1" max="1" width="60.54296875" style="5" customWidth="1"/>
    <col min="2" max="2" width="36.1796875" style="3" customWidth="1"/>
    <col min="3" max="3" width="32.1796875" style="3" customWidth="1"/>
    <col min="4" max="4" width="24.1796875" style="5" customWidth="1"/>
    <col min="5" max="5" width="18.81640625" style="5" customWidth="1"/>
    <col min="6" max="6" width="29.453125" style="5" customWidth="1"/>
    <col min="7" max="7" width="21.453125" style="40" customWidth="1"/>
    <col min="8" max="8" width="20.81640625" style="6" customWidth="1"/>
    <col min="9" max="9" width="30.7265625" style="5"/>
    <col min="10" max="10" width="52.453125" style="5" bestFit="1" customWidth="1"/>
    <col min="11" max="15" width="30.7265625" style="3"/>
    <col min="16" max="16384" width="30.7265625" style="5"/>
  </cols>
  <sheetData>
    <row r="1" spans="1:19" ht="46">
      <c r="A1" s="79" t="s">
        <v>56</v>
      </c>
      <c r="B1" s="79"/>
      <c r="C1" s="79"/>
      <c r="D1" s="79"/>
      <c r="E1" s="79"/>
      <c r="F1" s="79"/>
      <c r="G1" s="79"/>
      <c r="H1" s="79"/>
      <c r="K1" s="5"/>
      <c r="L1" s="5"/>
      <c r="M1" s="5"/>
      <c r="N1" s="5"/>
      <c r="O1" s="5"/>
    </row>
    <row r="2" spans="1:19" ht="24" customHeight="1" thickBot="1">
      <c r="C2" s="5"/>
      <c r="G2" s="5"/>
    </row>
    <row r="3" spans="1:19" ht="101.5">
      <c r="A3" s="48" t="s">
        <v>51</v>
      </c>
      <c r="B3" s="63" t="s">
        <v>59</v>
      </c>
      <c r="G3" s="5"/>
    </row>
    <row r="4" spans="1:19" ht="26.5" customHeight="1" thickBot="1">
      <c r="A4" s="49" t="s">
        <v>70</v>
      </c>
      <c r="B4" s="50" t="s">
        <v>52</v>
      </c>
      <c r="C4" s="5"/>
      <c r="G4" s="5"/>
    </row>
    <row r="5" spans="1:19" ht="26.5" customHeight="1">
      <c r="B5" s="5"/>
      <c r="C5" s="5"/>
      <c r="G5" s="5"/>
    </row>
    <row r="6" spans="1:19" ht="33.65" customHeight="1">
      <c r="A6" s="76" t="s">
        <v>53</v>
      </c>
      <c r="B6" s="76"/>
      <c r="C6" s="76"/>
      <c r="D6" s="76"/>
      <c r="E6" s="76"/>
      <c r="F6" s="76"/>
      <c r="G6" s="76"/>
      <c r="H6" s="76"/>
    </row>
    <row r="7" spans="1:19" ht="24" customHeight="1">
      <c r="C7" s="5"/>
      <c r="G7" s="5"/>
    </row>
    <row r="8" spans="1:19" ht="24" customHeight="1">
      <c r="A8" s="77" t="s">
        <v>69</v>
      </c>
      <c r="B8" s="78"/>
      <c r="C8" s="51" t="s">
        <v>0</v>
      </c>
      <c r="G8" s="5"/>
    </row>
    <row r="9" spans="1:19" ht="24" customHeight="1">
      <c r="A9" s="52" t="s">
        <v>54</v>
      </c>
      <c r="B9" s="8">
        <v>150000</v>
      </c>
      <c r="C9" s="53" t="s">
        <v>8</v>
      </c>
      <c r="G9" s="5"/>
    </row>
    <row r="10" spans="1:19" ht="24" customHeight="1">
      <c r="A10" s="7" t="s">
        <v>34</v>
      </c>
      <c r="B10" s="8">
        <v>10</v>
      </c>
      <c r="C10" s="53" t="s">
        <v>57</v>
      </c>
      <c r="G10" s="5"/>
    </row>
    <row r="11" spans="1:19" ht="22.9" customHeight="1">
      <c r="G11" s="5"/>
    </row>
    <row r="12" spans="1:19" ht="20.5" thickBot="1">
      <c r="G12" s="5"/>
      <c r="H12" s="5"/>
      <c r="J12" s="9" t="s">
        <v>33</v>
      </c>
      <c r="K12" s="10"/>
      <c r="L12" s="11"/>
    </row>
    <row r="13" spans="1:19" s="12" customFormat="1" ht="84" customHeight="1">
      <c r="A13" s="54" t="s">
        <v>50</v>
      </c>
      <c r="B13" s="54"/>
      <c r="C13" s="54" t="s">
        <v>11</v>
      </c>
      <c r="D13" s="54" t="s">
        <v>4</v>
      </c>
      <c r="E13" s="54" t="s">
        <v>0</v>
      </c>
      <c r="F13" s="55" t="s">
        <v>58</v>
      </c>
      <c r="G13" s="56" t="s">
        <v>32</v>
      </c>
      <c r="H13" s="57" t="s">
        <v>31</v>
      </c>
      <c r="J13" s="13" t="s">
        <v>42</v>
      </c>
      <c r="K13" s="14" t="s">
        <v>41</v>
      </c>
      <c r="L13" s="14" t="s">
        <v>40</v>
      </c>
      <c r="M13" s="15" t="s">
        <v>14</v>
      </c>
      <c r="N13" s="15" t="s">
        <v>15</v>
      </c>
      <c r="O13" s="15" t="s">
        <v>49</v>
      </c>
      <c r="P13" s="15" t="s">
        <v>63</v>
      </c>
      <c r="Q13" s="15" t="s">
        <v>64</v>
      </c>
      <c r="R13" s="15" t="s">
        <v>65</v>
      </c>
      <c r="S13" s="15" t="s">
        <v>66</v>
      </c>
    </row>
    <row r="14" spans="1:19">
      <c r="A14" s="47" t="s">
        <v>30</v>
      </c>
      <c r="B14" s="47" t="s">
        <v>29</v>
      </c>
      <c r="C14" s="47" t="s">
        <v>12</v>
      </c>
      <c r="D14" s="47" t="s">
        <v>9</v>
      </c>
      <c r="E14" s="47"/>
      <c r="F14" s="47"/>
      <c r="G14" s="47"/>
      <c r="H14" s="47"/>
      <c r="J14" s="16" t="s">
        <v>30</v>
      </c>
      <c r="K14" s="17">
        <f>SUM(G15:G16)</f>
        <v>0.21333333333333335</v>
      </c>
      <c r="L14" s="17">
        <f>SUM(G42:G43)</f>
        <v>0.22222222222222221</v>
      </c>
      <c r="M14" s="17">
        <f t="shared" ref="M14:S16" si="0">$L14</f>
        <v>0.22222222222222221</v>
      </c>
      <c r="N14" s="17">
        <f t="shared" si="0"/>
        <v>0.22222222222222221</v>
      </c>
      <c r="O14" s="17">
        <f t="shared" si="0"/>
        <v>0.22222222222222221</v>
      </c>
      <c r="P14" s="17">
        <f>SUM(G69:G70)</f>
        <v>0.22222222222222221</v>
      </c>
      <c r="Q14" s="17">
        <f t="shared" si="0"/>
        <v>0.22222222222222221</v>
      </c>
      <c r="R14" s="17">
        <f t="shared" si="0"/>
        <v>0.22222222222222221</v>
      </c>
      <c r="S14" s="17">
        <f t="shared" si="0"/>
        <v>0.22222222222222221</v>
      </c>
    </row>
    <row r="15" spans="1:19">
      <c r="A15" s="7" t="s">
        <v>17</v>
      </c>
      <c r="B15" s="8">
        <f>$B$9</f>
        <v>150000</v>
      </c>
      <c r="C15" s="8">
        <v>1</v>
      </c>
      <c r="D15" s="62">
        <f>C15/B15</f>
        <v>6.6666666666666666E-6</v>
      </c>
      <c r="E15" s="62" t="s">
        <v>16</v>
      </c>
      <c r="F15" s="61">
        <v>30000</v>
      </c>
      <c r="G15" s="58">
        <f>F15*D15</f>
        <v>0.2</v>
      </c>
      <c r="H15" s="60">
        <f>G15/G$28</f>
        <v>0.44349292919160216</v>
      </c>
      <c r="J15" s="19" t="s">
        <v>27</v>
      </c>
      <c r="K15" s="17">
        <f>SUM(G18:G19)</f>
        <v>4.6666666666666669E-2</v>
      </c>
      <c r="L15" s="17">
        <f>SUM(G45:G46)</f>
        <v>3.5555555555555556E-2</v>
      </c>
      <c r="M15" s="20">
        <f>$L15</f>
        <v>3.5555555555555556E-2</v>
      </c>
      <c r="N15" s="20">
        <f t="shared" si="0"/>
        <v>3.5555555555555556E-2</v>
      </c>
      <c r="O15" s="20">
        <f>$L15</f>
        <v>3.5555555555555556E-2</v>
      </c>
      <c r="P15" s="17">
        <f>SUM(G72:G74)</f>
        <v>0.42666666666666669</v>
      </c>
      <c r="Q15" s="20">
        <f>$P15</f>
        <v>0.42666666666666669</v>
      </c>
      <c r="R15" s="20">
        <f t="shared" ref="R15:S15" si="1">$P15</f>
        <v>0.42666666666666669</v>
      </c>
      <c r="S15" s="20">
        <f t="shared" si="1"/>
        <v>0.42666666666666669</v>
      </c>
    </row>
    <row r="16" spans="1:19">
      <c r="A16" s="7" t="s">
        <v>28</v>
      </c>
      <c r="B16" s="8">
        <f>$B$9</f>
        <v>150000</v>
      </c>
      <c r="C16" s="8">
        <v>1</v>
      </c>
      <c r="D16" s="62">
        <f>C16/B16</f>
        <v>6.6666666666666666E-6</v>
      </c>
      <c r="E16" s="62" t="s">
        <v>16</v>
      </c>
      <c r="F16" s="61">
        <v>2000</v>
      </c>
      <c r="G16" s="58">
        <f>F16*D16</f>
        <v>1.3333333333333332E-2</v>
      </c>
      <c r="H16" s="60">
        <f>G16/G$28</f>
        <v>2.9566195279440138E-2</v>
      </c>
      <c r="J16" s="16" t="s">
        <v>23</v>
      </c>
      <c r="K16" s="21">
        <f>SUM(G21:G22)</f>
        <v>0.105</v>
      </c>
      <c r="L16" s="21">
        <f>SUM(G48:G49)</f>
        <v>6.0000000000000005E-2</v>
      </c>
      <c r="M16" s="21">
        <f>$L16</f>
        <v>6.0000000000000005E-2</v>
      </c>
      <c r="N16" s="21">
        <f t="shared" si="0"/>
        <v>6.0000000000000005E-2</v>
      </c>
      <c r="O16" s="21">
        <f t="shared" si="0"/>
        <v>6.0000000000000005E-2</v>
      </c>
      <c r="P16" s="21">
        <f>SUM(G76:G77)</f>
        <v>6.0000000000000005E-2</v>
      </c>
      <c r="Q16" s="21">
        <f t="shared" si="0"/>
        <v>6.0000000000000005E-2</v>
      </c>
      <c r="R16" s="21">
        <f t="shared" si="0"/>
        <v>6.0000000000000005E-2</v>
      </c>
      <c r="S16" s="21">
        <f t="shared" si="0"/>
        <v>6.0000000000000005E-2</v>
      </c>
    </row>
    <row r="17" spans="1:19">
      <c r="A17" s="47" t="s">
        <v>27</v>
      </c>
      <c r="B17" s="47" t="s">
        <v>39</v>
      </c>
      <c r="C17" s="47" t="s">
        <v>38</v>
      </c>
      <c r="D17" s="47" t="s">
        <v>9</v>
      </c>
      <c r="E17" s="47"/>
      <c r="F17" s="47"/>
      <c r="G17" s="47"/>
      <c r="H17" s="47"/>
      <c r="J17" s="16" t="s">
        <v>20</v>
      </c>
      <c r="K17" s="20">
        <f>G24</f>
        <v>0.10596547619047617</v>
      </c>
      <c r="L17" s="20">
        <f>G51</f>
        <v>5.2000000000000005E-2</v>
      </c>
      <c r="M17" s="20"/>
      <c r="N17" s="20"/>
      <c r="O17" s="20"/>
      <c r="P17" s="20">
        <f>$G$79</f>
        <v>5.2000000000000005E-2</v>
      </c>
      <c r="Q17" s="20"/>
      <c r="R17" s="20"/>
      <c r="S17" s="20"/>
    </row>
    <row r="18" spans="1:19">
      <c r="A18" s="4" t="s">
        <v>25</v>
      </c>
      <c r="B18" s="8">
        <f>B9/B10</f>
        <v>15000</v>
      </c>
      <c r="C18" s="27">
        <v>1</v>
      </c>
      <c r="D18" s="62">
        <f>C18/B18</f>
        <v>6.666666666666667E-5</v>
      </c>
      <c r="E18" s="8" t="s">
        <v>16</v>
      </c>
      <c r="F18" s="61">
        <v>500</v>
      </c>
      <c r="G18" s="58">
        <f>F18*$D18</f>
        <v>3.3333333333333333E-2</v>
      </c>
      <c r="H18" s="60">
        <f>G18/G$28</f>
        <v>7.3915488198600346E-2</v>
      </c>
      <c r="J18" s="16" t="s">
        <v>37</v>
      </c>
      <c r="K18" s="25">
        <f>G26</f>
        <v>-0.02</v>
      </c>
      <c r="L18" s="25">
        <f>G53</f>
        <v>-1.3333333333333332E-2</v>
      </c>
      <c r="M18" s="25">
        <f>$L18</f>
        <v>-1.3333333333333332E-2</v>
      </c>
      <c r="N18" s="25">
        <f>$M$18</f>
        <v>-1.3333333333333332E-2</v>
      </c>
      <c r="O18" s="25">
        <f>$M$18</f>
        <v>-1.3333333333333332E-2</v>
      </c>
      <c r="P18" s="25">
        <f>G81</f>
        <v>-1.3333333333333332E-2</v>
      </c>
      <c r="Q18" s="25">
        <f>$L18</f>
        <v>-1.3333333333333332E-2</v>
      </c>
      <c r="R18" s="25">
        <f t="shared" ref="R18:S18" si="2">$L18</f>
        <v>-1.3333333333333332E-2</v>
      </c>
      <c r="S18" s="25">
        <f t="shared" si="2"/>
        <v>-1.3333333333333332E-2</v>
      </c>
    </row>
    <row r="19" spans="1:19">
      <c r="A19" s="4" t="s">
        <v>24</v>
      </c>
      <c r="B19" s="8">
        <f>B9/B10</f>
        <v>15000</v>
      </c>
      <c r="C19" s="27">
        <v>1</v>
      </c>
      <c r="D19" s="62">
        <f>C19/B19</f>
        <v>6.666666666666667E-5</v>
      </c>
      <c r="E19" s="8" t="s">
        <v>16</v>
      </c>
      <c r="F19" s="61">
        <v>200</v>
      </c>
      <c r="G19" s="58">
        <f>F19*$D19</f>
        <v>1.3333333333333334E-2</v>
      </c>
      <c r="H19" s="60">
        <f>G19/G$28</f>
        <v>2.9566195279440141E-2</v>
      </c>
      <c r="J19" s="16" t="s">
        <v>6</v>
      </c>
      <c r="K19" s="25"/>
      <c r="L19" s="25"/>
      <c r="M19" s="25">
        <f>$L$17*M$25</f>
        <v>3.1200000000000002E-2</v>
      </c>
      <c r="N19" s="25"/>
      <c r="O19" s="25"/>
      <c r="P19" s="25"/>
      <c r="Q19" s="25">
        <f>$L$17*Q$25</f>
        <v>3.1200000000000002E-2</v>
      </c>
      <c r="R19" s="25"/>
      <c r="S19" s="25"/>
    </row>
    <row r="20" spans="1:19">
      <c r="A20" s="47" t="s">
        <v>36</v>
      </c>
      <c r="B20" s="47" t="s">
        <v>35</v>
      </c>
      <c r="C20" s="47"/>
      <c r="D20" s="47" t="s">
        <v>9</v>
      </c>
      <c r="E20" s="47"/>
      <c r="F20" s="47"/>
      <c r="G20" s="47"/>
      <c r="H20" s="47"/>
      <c r="J20" s="16" t="s">
        <v>5</v>
      </c>
      <c r="K20" s="25"/>
      <c r="L20" s="25"/>
      <c r="M20" s="25"/>
      <c r="N20" s="25">
        <f>$L$17*N$25</f>
        <v>4.6800000000000008E-2</v>
      </c>
      <c r="O20" s="25"/>
      <c r="P20" s="25"/>
      <c r="Q20" s="25"/>
      <c r="R20" s="25">
        <f>$L$17*R$25</f>
        <v>4.6800000000000008E-2</v>
      </c>
      <c r="S20" s="25"/>
    </row>
    <row r="21" spans="1:19">
      <c r="A21" s="4" t="s">
        <v>22</v>
      </c>
      <c r="B21" s="71">
        <v>10000</v>
      </c>
      <c r="C21" s="27">
        <v>1</v>
      </c>
      <c r="D21" s="62">
        <f>C21/B21</f>
        <v>1E-4</v>
      </c>
      <c r="E21" s="8" t="s">
        <v>16</v>
      </c>
      <c r="F21" s="61">
        <v>750</v>
      </c>
      <c r="G21" s="58">
        <f>F21*$D21</f>
        <v>7.4999999999999997E-2</v>
      </c>
      <c r="H21" s="60">
        <f>G21/G$28</f>
        <v>0.16630984844685079</v>
      </c>
      <c r="J21" s="16" t="s">
        <v>7</v>
      </c>
      <c r="K21" s="25"/>
      <c r="L21" s="25"/>
      <c r="M21" s="25"/>
      <c r="N21" s="25"/>
      <c r="O21" s="25">
        <f>$L$17*O$25</f>
        <v>6.7600000000000007E-2</v>
      </c>
      <c r="P21" s="25"/>
      <c r="Q21" s="25"/>
      <c r="R21" s="25"/>
      <c r="S21" s="25">
        <f>$L$17*S$25</f>
        <v>6.7600000000000007E-2</v>
      </c>
    </row>
    <row r="22" spans="1:19">
      <c r="A22" s="4" t="s">
        <v>21</v>
      </c>
      <c r="B22" s="8">
        <v>20000</v>
      </c>
      <c r="C22" s="27">
        <v>4</v>
      </c>
      <c r="D22" s="62">
        <f>C22/B22</f>
        <v>2.0000000000000001E-4</v>
      </c>
      <c r="E22" s="8" t="s">
        <v>16</v>
      </c>
      <c r="F22" s="61">
        <v>150</v>
      </c>
      <c r="G22" s="58">
        <f>F22*$D22</f>
        <v>3.0000000000000002E-2</v>
      </c>
      <c r="H22" s="60">
        <f>G22/G$28</f>
        <v>6.6523939378740321E-2</v>
      </c>
      <c r="J22" s="7" t="s">
        <v>2</v>
      </c>
      <c r="K22" s="27">
        <f>SUM(K14:K18)</f>
        <v>0.45096547619047611</v>
      </c>
      <c r="L22" s="27">
        <f>SUM(L14:L18)</f>
        <v>0.35644444444444445</v>
      </c>
      <c r="M22" s="27">
        <f>SUM(M14:M16)+M18+M19</f>
        <v>0.33564444444444447</v>
      </c>
      <c r="N22" s="27">
        <f>SUM(N14:N16)+N18+N20</f>
        <v>0.35124444444444447</v>
      </c>
      <c r="O22" s="27">
        <f>SUM(O14:O16)+O18+O21</f>
        <v>0.37204444444444446</v>
      </c>
      <c r="P22" s="27">
        <f>SUM(P14:P18)</f>
        <v>0.74755555555555564</v>
      </c>
      <c r="Q22" s="27">
        <f>SUM(Q14:Q16)+Q18+Q19</f>
        <v>0.7267555555555556</v>
      </c>
      <c r="R22" s="27">
        <f>SUM(R14:R16)+R18+R20</f>
        <v>0.74235555555555566</v>
      </c>
      <c r="S22" s="27">
        <f>SUM(S14:S16)+S18+S21</f>
        <v>0.76315555555555559</v>
      </c>
    </row>
    <row r="23" spans="1:19">
      <c r="A23" s="47" t="s">
        <v>20</v>
      </c>
      <c r="B23" s="47"/>
      <c r="C23" s="47" t="s">
        <v>13</v>
      </c>
      <c r="D23" s="47" t="s">
        <v>9</v>
      </c>
      <c r="E23" s="47"/>
      <c r="F23" s="47"/>
      <c r="G23" s="47"/>
      <c r="H23" s="47"/>
    </row>
    <row r="24" spans="1:19">
      <c r="A24" s="4" t="s">
        <v>10</v>
      </c>
      <c r="B24" s="8">
        <v>1</v>
      </c>
      <c r="C24" s="27">
        <f>0.0619047619047619*0.835</f>
        <v>5.1690476190476183E-2</v>
      </c>
      <c r="D24" s="62">
        <f>C24/B24</f>
        <v>5.1690476190476183E-2</v>
      </c>
      <c r="E24" s="23" t="s">
        <v>19</v>
      </c>
      <c r="F24" s="61">
        <v>2.0499999999999998</v>
      </c>
      <c r="G24" s="58">
        <f>F24*$D24</f>
        <v>0.10596547619047617</v>
      </c>
      <c r="H24" s="60">
        <f>G24/G$28</f>
        <v>0.23497469714448624</v>
      </c>
    </row>
    <row r="25" spans="1:19">
      <c r="A25" s="47" t="s">
        <v>18</v>
      </c>
      <c r="B25" s="47"/>
      <c r="C25" s="47" t="s">
        <v>12</v>
      </c>
      <c r="D25" s="47" t="s">
        <v>9</v>
      </c>
      <c r="E25" s="47"/>
      <c r="F25" s="47"/>
      <c r="G25" s="47"/>
      <c r="H25" s="47"/>
      <c r="J25" s="70" t="s">
        <v>71</v>
      </c>
      <c r="K25" s="70"/>
      <c r="L25" s="70">
        <v>1</v>
      </c>
      <c r="M25" s="70">
        <v>0.6</v>
      </c>
      <c r="N25" s="70">
        <v>0.9</v>
      </c>
      <c r="O25" s="70">
        <v>1.3</v>
      </c>
      <c r="P25" s="70">
        <v>1</v>
      </c>
      <c r="Q25" s="70">
        <v>0.6</v>
      </c>
      <c r="R25" s="70">
        <v>0.9</v>
      </c>
      <c r="S25" s="70">
        <v>1.3</v>
      </c>
    </row>
    <row r="26" spans="1:19">
      <c r="A26" s="29" t="s">
        <v>17</v>
      </c>
      <c r="B26" s="3">
        <f>$B$9</f>
        <v>150000</v>
      </c>
      <c r="C26" s="2">
        <v>-1</v>
      </c>
      <c r="D26" s="1">
        <f>C26/B26</f>
        <v>-6.6666666666666666E-6</v>
      </c>
      <c r="E26" s="23" t="s">
        <v>16</v>
      </c>
      <c r="F26" s="61">
        <v>3000</v>
      </c>
      <c r="G26" s="58">
        <f>F26*$D26</f>
        <v>-0.02</v>
      </c>
      <c r="H26" s="60">
        <f>G26/G$28</f>
        <v>-4.4349292919160212E-2</v>
      </c>
    </row>
    <row r="27" spans="1:19">
      <c r="A27" s="47" t="s">
        <v>2</v>
      </c>
      <c r="B27" s="47"/>
      <c r="C27" s="47"/>
      <c r="D27" s="47" t="s">
        <v>9</v>
      </c>
      <c r="E27" s="47"/>
      <c r="F27" s="47"/>
      <c r="G27" s="47"/>
      <c r="H27" s="47"/>
    </row>
    <row r="28" spans="1:19">
      <c r="A28" s="22" t="s">
        <v>2</v>
      </c>
      <c r="B28" s="3" t="s">
        <v>42</v>
      </c>
      <c r="C28" s="2" t="s">
        <v>3</v>
      </c>
      <c r="D28" s="3"/>
      <c r="E28" s="31" t="s">
        <v>3</v>
      </c>
      <c r="F28" s="32"/>
      <c r="G28" s="33">
        <f>SUM(G15:G26)</f>
        <v>0.45096547619047622</v>
      </c>
      <c r="H28" s="28">
        <f>G28/G$28</f>
        <v>1</v>
      </c>
    </row>
    <row r="29" spans="1:19">
      <c r="A29" s="22" t="s">
        <v>43</v>
      </c>
      <c r="B29" s="3" t="s">
        <v>44</v>
      </c>
      <c r="C29" s="2">
        <v>7.44</v>
      </c>
      <c r="D29" s="3" t="s">
        <v>45</v>
      </c>
      <c r="E29" s="31"/>
      <c r="F29" s="32"/>
      <c r="G29" s="33" t="s">
        <v>47</v>
      </c>
      <c r="H29" s="28">
        <f>SUM(H15:H25)</f>
        <v>1.0443492929191602</v>
      </c>
    </row>
    <row r="30" spans="1:19" ht="20.5" thickBot="1">
      <c r="A30" s="34" t="s">
        <v>2</v>
      </c>
      <c r="B30" s="35" t="s">
        <v>46</v>
      </c>
      <c r="C30" s="36"/>
      <c r="D30" s="35"/>
      <c r="E30" s="37"/>
      <c r="F30" s="38"/>
      <c r="G30" s="46">
        <f>G28*$C$29</f>
        <v>3.3551831428571433</v>
      </c>
      <c r="H30" s="39"/>
    </row>
    <row r="33" spans="1:15" ht="33.5">
      <c r="A33" s="76" t="s">
        <v>55</v>
      </c>
      <c r="B33" s="76"/>
      <c r="C33" s="76"/>
      <c r="D33" s="76"/>
      <c r="E33" s="76"/>
      <c r="F33" s="76"/>
      <c r="G33" s="76"/>
      <c r="H33" s="76"/>
    </row>
    <row r="35" spans="1:15" ht="26">
      <c r="A35" s="77" t="s">
        <v>69</v>
      </c>
      <c r="B35" s="78"/>
      <c r="C35" s="51" t="s">
        <v>0</v>
      </c>
    </row>
    <row r="36" spans="1:15">
      <c r="A36" s="52" t="s">
        <v>67</v>
      </c>
      <c r="B36" s="8">
        <v>225000</v>
      </c>
      <c r="C36" s="53" t="s">
        <v>8</v>
      </c>
    </row>
    <row r="37" spans="1:15">
      <c r="A37" s="7" t="s">
        <v>34</v>
      </c>
      <c r="B37" s="8">
        <v>10</v>
      </c>
      <c r="C37" s="53" t="s">
        <v>57</v>
      </c>
    </row>
    <row r="38" spans="1:15">
      <c r="B38" s="5"/>
      <c r="C38" s="5"/>
      <c r="G38" s="5"/>
      <c r="H38" s="5"/>
      <c r="K38" s="41"/>
      <c r="L38" s="41"/>
      <c r="M38" s="41"/>
      <c r="N38" s="41"/>
      <c r="O38" s="41"/>
    </row>
    <row r="39" spans="1:15" ht="20.5" thickBot="1">
      <c r="B39" s="5"/>
      <c r="C39" s="5"/>
      <c r="G39" s="5"/>
      <c r="H39" s="5"/>
      <c r="K39" s="41"/>
      <c r="L39" s="41"/>
      <c r="M39" s="41"/>
      <c r="N39" s="41"/>
      <c r="O39" s="41"/>
    </row>
    <row r="40" spans="1:15" ht="84" customHeight="1">
      <c r="A40" s="54" t="s">
        <v>50</v>
      </c>
      <c r="B40" s="54"/>
      <c r="C40" s="54" t="s">
        <v>11</v>
      </c>
      <c r="D40" s="54" t="s">
        <v>4</v>
      </c>
      <c r="E40" s="54" t="s">
        <v>0</v>
      </c>
      <c r="F40" s="55" t="s">
        <v>58</v>
      </c>
      <c r="G40" s="56" t="s">
        <v>32</v>
      </c>
      <c r="H40" s="57" t="s">
        <v>31</v>
      </c>
    </row>
    <row r="41" spans="1:15">
      <c r="A41" s="47" t="s">
        <v>30</v>
      </c>
      <c r="B41" s="72" t="s">
        <v>29</v>
      </c>
      <c r="C41" s="47" t="s">
        <v>12</v>
      </c>
      <c r="D41" s="47" t="s">
        <v>9</v>
      </c>
      <c r="E41" s="47"/>
      <c r="F41" s="47"/>
      <c r="G41" s="47"/>
      <c r="H41" s="47"/>
    </row>
    <row r="42" spans="1:15">
      <c r="A42" s="5" t="s">
        <v>17</v>
      </c>
      <c r="B42" s="32">
        <f>$B$36</f>
        <v>225000</v>
      </c>
      <c r="C42" s="3">
        <v>1</v>
      </c>
      <c r="D42" s="1">
        <f>C42/B42</f>
        <v>4.4444444444444441E-6</v>
      </c>
      <c r="E42" s="1" t="s">
        <v>16</v>
      </c>
      <c r="F42" s="18">
        <v>50000</v>
      </c>
      <c r="G42" s="1">
        <f>F42*D42</f>
        <v>0.22222222222222221</v>
      </c>
      <c r="H42" s="28">
        <f>G42/G$55</f>
        <v>0.6234413965087281</v>
      </c>
    </row>
    <row r="43" spans="1:15">
      <c r="A43" s="5" t="s">
        <v>28</v>
      </c>
      <c r="B43" s="32">
        <f>$B$36</f>
        <v>225000</v>
      </c>
      <c r="C43" s="3">
        <v>1</v>
      </c>
      <c r="D43" s="1">
        <f>C43/B43</f>
        <v>4.4444444444444441E-6</v>
      </c>
      <c r="E43" s="1" t="s">
        <v>16</v>
      </c>
      <c r="F43" s="18">
        <v>0</v>
      </c>
      <c r="G43" s="1">
        <f>F43*D43</f>
        <v>0</v>
      </c>
      <c r="H43" s="28">
        <f>G43/G$55</f>
        <v>0</v>
      </c>
    </row>
    <row r="44" spans="1:15">
      <c r="A44" s="47" t="s">
        <v>27</v>
      </c>
      <c r="B44" s="74"/>
      <c r="C44" s="72" t="s">
        <v>26</v>
      </c>
      <c r="D44" s="47" t="s">
        <v>9</v>
      </c>
      <c r="E44" s="47"/>
      <c r="F44" s="47"/>
      <c r="G44" s="47"/>
      <c r="H44" s="47"/>
    </row>
    <row r="45" spans="1:15">
      <c r="A45" s="4" t="s">
        <v>25</v>
      </c>
      <c r="B45" s="32">
        <f>$B$36/$B$37</f>
        <v>22500</v>
      </c>
      <c r="C45" s="2">
        <v>1</v>
      </c>
      <c r="D45" s="1">
        <f>C45/B45</f>
        <v>4.4444444444444447E-5</v>
      </c>
      <c r="E45" s="23" t="s">
        <v>16</v>
      </c>
      <c r="F45" s="2">
        <v>700</v>
      </c>
      <c r="G45" s="24">
        <f>F45*$D45</f>
        <v>3.1111111111111114E-2</v>
      </c>
      <c r="H45" s="28">
        <f>G45/G$55</f>
        <v>8.7281795511221949E-2</v>
      </c>
    </row>
    <row r="46" spans="1:15">
      <c r="A46" s="4" t="s">
        <v>24</v>
      </c>
      <c r="B46" s="32">
        <f>$B$36/$B$37</f>
        <v>22500</v>
      </c>
      <c r="C46" s="2">
        <v>1</v>
      </c>
      <c r="D46" s="1">
        <f>C46/B46</f>
        <v>4.4444444444444447E-5</v>
      </c>
      <c r="E46" s="23" t="s">
        <v>16</v>
      </c>
      <c r="F46" s="2">
        <v>100</v>
      </c>
      <c r="G46" s="24">
        <f>F46*$D46</f>
        <v>4.4444444444444444E-3</v>
      </c>
      <c r="H46" s="28">
        <f>G46/G$55</f>
        <v>1.2468827930174564E-2</v>
      </c>
    </row>
    <row r="47" spans="1:15">
      <c r="A47" s="47" t="s">
        <v>23</v>
      </c>
      <c r="B47" s="73"/>
      <c r="C47" s="73"/>
      <c r="D47" s="47" t="s">
        <v>9</v>
      </c>
      <c r="E47" s="47"/>
      <c r="F47" s="47"/>
      <c r="G47" s="47"/>
      <c r="H47" s="47"/>
    </row>
    <row r="48" spans="1:15">
      <c r="A48" s="22" t="s">
        <v>22</v>
      </c>
      <c r="B48" s="26">
        <v>10000</v>
      </c>
      <c r="C48" s="2">
        <v>1</v>
      </c>
      <c r="D48" s="1">
        <f>C48/B48</f>
        <v>1E-4</v>
      </c>
      <c r="E48" s="23" t="s">
        <v>16</v>
      </c>
      <c r="F48" s="2">
        <v>300</v>
      </c>
      <c r="G48" s="24">
        <f>F48*$D48</f>
        <v>3.0000000000000002E-2</v>
      </c>
      <c r="H48" s="28">
        <f>G48/G$55</f>
        <v>8.4164588528678308E-2</v>
      </c>
    </row>
    <row r="49" spans="1:8">
      <c r="A49" s="22" t="s">
        <v>21</v>
      </c>
      <c r="B49" s="3">
        <v>20000</v>
      </c>
      <c r="C49" s="2">
        <v>4</v>
      </c>
      <c r="D49" s="1">
        <f>C49/B49</f>
        <v>2.0000000000000001E-4</v>
      </c>
      <c r="E49" s="23" t="s">
        <v>16</v>
      </c>
      <c r="F49" s="2">
        <v>150</v>
      </c>
      <c r="G49" s="24">
        <f>F49*$D49</f>
        <v>3.0000000000000002E-2</v>
      </c>
      <c r="H49" s="28">
        <f>G49/G$55</f>
        <v>8.4164588528678308E-2</v>
      </c>
    </row>
    <row r="50" spans="1:8">
      <c r="A50" s="47" t="s">
        <v>20</v>
      </c>
      <c r="B50" s="47"/>
      <c r="C50" s="47" t="s">
        <v>13</v>
      </c>
      <c r="D50" s="47" t="s">
        <v>9</v>
      </c>
      <c r="E50" s="47"/>
      <c r="F50" s="47"/>
      <c r="G50" s="47"/>
      <c r="H50" s="47"/>
    </row>
    <row r="51" spans="1:8">
      <c r="A51" s="22" t="s">
        <v>48</v>
      </c>
      <c r="B51" s="67">
        <v>1</v>
      </c>
      <c r="C51" s="68">
        <v>0.26</v>
      </c>
      <c r="D51" s="69">
        <f>C51/B51</f>
        <v>0.26</v>
      </c>
      <c r="E51" s="23" t="s">
        <v>1</v>
      </c>
      <c r="F51" s="2">
        <v>0.2</v>
      </c>
      <c r="G51" s="24">
        <f>F51*$D51</f>
        <v>5.2000000000000005E-2</v>
      </c>
      <c r="H51" s="28">
        <f>G51/G$55</f>
        <v>0.14588528678304241</v>
      </c>
    </row>
    <row r="52" spans="1:8">
      <c r="A52" s="47" t="s">
        <v>18</v>
      </c>
      <c r="B52" s="47"/>
      <c r="C52" s="47" t="s">
        <v>12</v>
      </c>
      <c r="D52" s="47" t="s">
        <v>9</v>
      </c>
      <c r="E52" s="47"/>
      <c r="F52" s="47"/>
      <c r="G52" s="47"/>
      <c r="H52" s="47"/>
    </row>
    <row r="53" spans="1:8">
      <c r="A53" s="29" t="s">
        <v>17</v>
      </c>
      <c r="B53" s="3">
        <f>$B$36</f>
        <v>225000</v>
      </c>
      <c r="C53" s="2">
        <v>-1</v>
      </c>
      <c r="D53" s="1">
        <f>C53/B53</f>
        <v>-4.4444444444444441E-6</v>
      </c>
      <c r="E53" s="23" t="s">
        <v>16</v>
      </c>
      <c r="F53" s="2">
        <v>3000</v>
      </c>
      <c r="G53" s="30">
        <f>F53*$D53</f>
        <v>-1.3333333333333332E-2</v>
      </c>
      <c r="H53" s="28">
        <f>G53/G$55</f>
        <v>-3.7406483790523685E-2</v>
      </c>
    </row>
    <row r="54" spans="1:8">
      <c r="A54" s="47" t="s">
        <v>2</v>
      </c>
      <c r="B54" s="47"/>
      <c r="C54" s="47"/>
      <c r="D54" s="47" t="s">
        <v>9</v>
      </c>
      <c r="E54" s="47"/>
      <c r="F54" s="47"/>
      <c r="G54" s="47"/>
      <c r="H54" s="47"/>
    </row>
    <row r="55" spans="1:8" ht="47.65" customHeight="1">
      <c r="A55" s="22" t="s">
        <v>2</v>
      </c>
      <c r="C55" s="2" t="s">
        <v>3</v>
      </c>
      <c r="D55" s="3"/>
      <c r="E55" s="31" t="s">
        <v>3</v>
      </c>
      <c r="F55" s="32"/>
      <c r="G55" s="33">
        <f>SUM(G42:G53)</f>
        <v>0.35644444444444445</v>
      </c>
      <c r="H55" s="28">
        <f>G55/G$55</f>
        <v>1</v>
      </c>
    </row>
    <row r="56" spans="1:8">
      <c r="A56" s="22" t="s">
        <v>43</v>
      </c>
      <c r="B56" s="3" t="s">
        <v>44</v>
      </c>
      <c r="C56" s="2">
        <v>7.44</v>
      </c>
      <c r="D56" s="3" t="s">
        <v>45</v>
      </c>
      <c r="E56" s="31"/>
      <c r="F56" s="32"/>
      <c r="G56" s="33" t="s">
        <v>47</v>
      </c>
      <c r="H56" s="28">
        <f>SUM(H42:H52)</f>
        <v>1.0374064837905237</v>
      </c>
    </row>
    <row r="57" spans="1:8" ht="20.5" thickBot="1">
      <c r="A57" s="34" t="s">
        <v>2</v>
      </c>
      <c r="B57" s="35" t="s">
        <v>46</v>
      </c>
      <c r="C57" s="36"/>
      <c r="D57" s="35"/>
      <c r="E57" s="37"/>
      <c r="F57" s="38"/>
      <c r="G57" s="46">
        <f>G55*$C$56</f>
        <v>2.6519466666666669</v>
      </c>
      <c r="H57" s="39"/>
    </row>
    <row r="58" spans="1:8">
      <c r="C58" s="5"/>
      <c r="G58" s="5"/>
    </row>
    <row r="59" spans="1:8">
      <c r="C59" s="5"/>
      <c r="G59" s="5"/>
    </row>
    <row r="60" spans="1:8" ht="33.5">
      <c r="A60" s="76" t="s">
        <v>60</v>
      </c>
      <c r="B60" s="76"/>
      <c r="C60" s="76"/>
      <c r="D60" s="76"/>
      <c r="E60" s="76"/>
      <c r="F60" s="76"/>
      <c r="G60" s="76"/>
      <c r="H60" s="76"/>
    </row>
    <row r="62" spans="1:8" ht="26">
      <c r="A62" s="77" t="s">
        <v>69</v>
      </c>
      <c r="B62" s="78"/>
      <c r="C62" s="51" t="s">
        <v>0</v>
      </c>
    </row>
    <row r="63" spans="1:8">
      <c r="A63" s="52" t="s">
        <v>68</v>
      </c>
      <c r="B63" s="8">
        <v>225000</v>
      </c>
      <c r="C63" s="53" t="s">
        <v>8</v>
      </c>
    </row>
    <row r="64" spans="1:8">
      <c r="A64" s="7" t="s">
        <v>34</v>
      </c>
      <c r="B64" s="8">
        <v>10</v>
      </c>
      <c r="C64" s="53" t="s">
        <v>57</v>
      </c>
    </row>
    <row r="65" spans="1:8">
      <c r="B65" s="5"/>
      <c r="C65" s="5"/>
      <c r="G65" s="5"/>
      <c r="H65" s="5"/>
    </row>
    <row r="66" spans="1:8" ht="20.5" thickBot="1">
      <c r="B66" s="5"/>
      <c r="C66" s="5"/>
      <c r="G66" s="5"/>
      <c r="H66" s="5"/>
    </row>
    <row r="67" spans="1:8" ht="40">
      <c r="A67" s="54" t="s">
        <v>50</v>
      </c>
      <c r="B67" s="54"/>
      <c r="C67" s="54" t="s">
        <v>11</v>
      </c>
      <c r="D67" s="54" t="s">
        <v>4</v>
      </c>
      <c r="E67" s="54" t="s">
        <v>0</v>
      </c>
      <c r="F67" s="55" t="s">
        <v>58</v>
      </c>
      <c r="G67" s="56" t="s">
        <v>32</v>
      </c>
      <c r="H67" s="57" t="s">
        <v>31</v>
      </c>
    </row>
    <row r="68" spans="1:8">
      <c r="A68" s="47" t="s">
        <v>30</v>
      </c>
      <c r="B68" s="72" t="s">
        <v>29</v>
      </c>
      <c r="C68" s="47" t="s">
        <v>12</v>
      </c>
      <c r="D68" s="47" t="s">
        <v>9</v>
      </c>
      <c r="E68" s="47"/>
      <c r="F68" s="47"/>
      <c r="G68" s="47"/>
      <c r="H68" s="47"/>
    </row>
    <row r="69" spans="1:8">
      <c r="A69" s="75" t="s">
        <v>61</v>
      </c>
      <c r="B69" s="32">
        <f>$B$36</f>
        <v>225000</v>
      </c>
      <c r="C69" s="3">
        <v>1</v>
      </c>
      <c r="D69" s="1">
        <f>C69/B69</f>
        <v>4.4444444444444441E-6</v>
      </c>
      <c r="E69" s="1" t="s">
        <v>16</v>
      </c>
      <c r="F69" s="18">
        <v>50000</v>
      </c>
      <c r="G69" s="1">
        <f>F69*D69</f>
        <v>0.22222222222222221</v>
      </c>
      <c r="H69" s="28">
        <f>G69/G$83</f>
        <v>0.29726516052318663</v>
      </c>
    </row>
    <row r="70" spans="1:8">
      <c r="A70" s="5" t="s">
        <v>28</v>
      </c>
      <c r="B70" s="32">
        <f>$B$36</f>
        <v>225000</v>
      </c>
      <c r="C70" s="3">
        <v>1</v>
      </c>
      <c r="D70" s="1">
        <f>C70/B70</f>
        <v>4.4444444444444441E-6</v>
      </c>
      <c r="E70" s="1" t="s">
        <v>16</v>
      </c>
      <c r="F70" s="18">
        <v>0</v>
      </c>
      <c r="G70" s="1">
        <f>F70*D70</f>
        <v>0</v>
      </c>
      <c r="H70" s="28">
        <f>G70/G$83</f>
        <v>0</v>
      </c>
    </row>
    <row r="71" spans="1:8">
      <c r="A71" s="47" t="s">
        <v>27</v>
      </c>
      <c r="B71" s="73"/>
      <c r="C71" s="47" t="s">
        <v>26</v>
      </c>
      <c r="D71" s="47" t="s">
        <v>9</v>
      </c>
      <c r="E71" s="47"/>
      <c r="F71" s="47"/>
      <c r="G71" s="47"/>
      <c r="H71" s="47"/>
    </row>
    <row r="72" spans="1:8">
      <c r="A72" s="22" t="s">
        <v>25</v>
      </c>
      <c r="B72" s="3">
        <f>$B$36/$B$37</f>
        <v>22500</v>
      </c>
      <c r="C72" s="2">
        <v>1</v>
      </c>
      <c r="D72" s="1">
        <f>C72/B72</f>
        <v>4.4444444444444447E-5</v>
      </c>
      <c r="E72" s="23" t="s">
        <v>16</v>
      </c>
      <c r="F72" s="2">
        <v>700</v>
      </c>
      <c r="G72" s="24">
        <f>F72*$D72</f>
        <v>3.1111111111111114E-2</v>
      </c>
      <c r="H72" s="28">
        <f>G72/G$83</f>
        <v>4.1617122473246136E-2</v>
      </c>
    </row>
    <row r="73" spans="1:8">
      <c r="A73" s="22" t="s">
        <v>24</v>
      </c>
      <c r="B73" s="3">
        <f>$B$36/$B$37</f>
        <v>22500</v>
      </c>
      <c r="C73" s="2">
        <v>1</v>
      </c>
      <c r="D73" s="1">
        <f>C73/B73</f>
        <v>4.4444444444444447E-5</v>
      </c>
      <c r="E73" s="23" t="s">
        <v>16</v>
      </c>
      <c r="F73" s="2">
        <v>100</v>
      </c>
      <c r="G73" s="24">
        <f>F73*$D73</f>
        <v>4.4444444444444444E-3</v>
      </c>
      <c r="H73" s="28">
        <f>G73/G$83</f>
        <v>5.9453032104637331E-3</v>
      </c>
    </row>
    <row r="74" spans="1:8">
      <c r="A74" s="64" t="s">
        <v>62</v>
      </c>
      <c r="B74" s="65">
        <v>22500</v>
      </c>
      <c r="C74" s="61">
        <v>1</v>
      </c>
      <c r="D74" s="58">
        <f>C74/B74</f>
        <v>4.4444444444444447E-5</v>
      </c>
      <c r="E74" s="65" t="s">
        <v>16</v>
      </c>
      <c r="F74" s="61">
        <v>8800</v>
      </c>
      <c r="G74" s="66">
        <f>F74*$D74</f>
        <v>0.39111111111111113</v>
      </c>
      <c r="H74" s="59">
        <f>G74/G$83</f>
        <v>0.52318668252080858</v>
      </c>
    </row>
    <row r="75" spans="1:8">
      <c r="A75" s="47" t="s">
        <v>23</v>
      </c>
      <c r="B75" s="47"/>
      <c r="C75" s="47"/>
      <c r="D75" s="47" t="s">
        <v>9</v>
      </c>
      <c r="E75" s="47"/>
      <c r="F75" s="47"/>
      <c r="G75" s="47"/>
      <c r="H75" s="47"/>
    </row>
    <row r="76" spans="1:8">
      <c r="A76" s="22" t="s">
        <v>22</v>
      </c>
      <c r="B76" s="26">
        <v>10000</v>
      </c>
      <c r="C76" s="2">
        <v>1</v>
      </c>
      <c r="D76" s="1">
        <f>C76/B76</f>
        <v>1E-4</v>
      </c>
      <c r="E76" s="23" t="s">
        <v>16</v>
      </c>
      <c r="F76" s="2">
        <v>300</v>
      </c>
      <c r="G76" s="24">
        <f>F76*$D76</f>
        <v>3.0000000000000002E-2</v>
      </c>
      <c r="H76" s="28">
        <f>G76/G$83</f>
        <v>4.0130796670630201E-2</v>
      </c>
    </row>
    <row r="77" spans="1:8">
      <c r="A77" s="22" t="s">
        <v>21</v>
      </c>
      <c r="B77" s="3">
        <v>20000</v>
      </c>
      <c r="C77" s="2">
        <v>4</v>
      </c>
      <c r="D77" s="1">
        <f>C77/B77</f>
        <v>2.0000000000000001E-4</v>
      </c>
      <c r="E77" s="23" t="s">
        <v>16</v>
      </c>
      <c r="F77" s="2">
        <v>150</v>
      </c>
      <c r="G77" s="24">
        <f>F77*$D77</f>
        <v>3.0000000000000002E-2</v>
      </c>
      <c r="H77" s="28">
        <f>G77/G$83</f>
        <v>4.0130796670630201E-2</v>
      </c>
    </row>
    <row r="78" spans="1:8">
      <c r="A78" s="47" t="s">
        <v>20</v>
      </c>
      <c r="B78" s="47"/>
      <c r="C78" s="47" t="s">
        <v>13</v>
      </c>
      <c r="D78" s="47" t="s">
        <v>9</v>
      </c>
      <c r="E78" s="47"/>
      <c r="F78" s="47"/>
      <c r="G78" s="47"/>
      <c r="H78" s="47"/>
    </row>
    <row r="79" spans="1:8">
      <c r="A79" s="22" t="s">
        <v>48</v>
      </c>
      <c r="B79" s="3">
        <v>1</v>
      </c>
      <c r="C79" s="68">
        <v>0.26</v>
      </c>
      <c r="D79" s="69">
        <f>C79/B79</f>
        <v>0.26</v>
      </c>
      <c r="E79" s="23" t="s">
        <v>1</v>
      </c>
      <c r="F79" s="2">
        <v>0.2</v>
      </c>
      <c r="G79" s="24">
        <f>F79*$D79</f>
        <v>5.2000000000000005E-2</v>
      </c>
      <c r="H79" s="28">
        <f>G79/G$83</f>
        <v>6.9560047562425675E-2</v>
      </c>
    </row>
    <row r="80" spans="1:8">
      <c r="A80" s="47" t="s">
        <v>18</v>
      </c>
      <c r="B80" s="47"/>
      <c r="C80" s="47" t="s">
        <v>12</v>
      </c>
      <c r="D80" s="47" t="s">
        <v>9</v>
      </c>
      <c r="E80" s="47"/>
      <c r="F80" s="47"/>
      <c r="G80" s="47"/>
      <c r="H80" s="47"/>
    </row>
    <row r="81" spans="1:8">
      <c r="A81" s="29" t="s">
        <v>17</v>
      </c>
      <c r="B81" s="3">
        <f>$B$36</f>
        <v>225000</v>
      </c>
      <c r="C81" s="2">
        <v>-1</v>
      </c>
      <c r="D81" s="1">
        <f>C81/B81</f>
        <v>-4.4444444444444441E-6</v>
      </c>
      <c r="E81" s="23" t="s">
        <v>16</v>
      </c>
      <c r="F81" s="2">
        <v>3000</v>
      </c>
      <c r="G81" s="30">
        <f>F81*$D81</f>
        <v>-1.3333333333333332E-2</v>
      </c>
      <c r="H81" s="28">
        <f>G81/G$83</f>
        <v>-1.7835909631391197E-2</v>
      </c>
    </row>
    <row r="82" spans="1:8">
      <c r="A82" s="47" t="s">
        <v>2</v>
      </c>
      <c r="B82" s="47"/>
      <c r="C82" s="47"/>
      <c r="D82" s="47" t="s">
        <v>9</v>
      </c>
      <c r="E82" s="47"/>
      <c r="F82" s="47"/>
      <c r="G82" s="47"/>
      <c r="H82" s="47"/>
    </row>
    <row r="83" spans="1:8">
      <c r="A83" s="22" t="s">
        <v>2</v>
      </c>
      <c r="C83" s="2" t="s">
        <v>3</v>
      </c>
      <c r="D83" s="3"/>
      <c r="E83" s="31" t="s">
        <v>3</v>
      </c>
      <c r="F83" s="32"/>
      <c r="G83" s="33">
        <f>SUM(G69:G81)</f>
        <v>0.74755555555555564</v>
      </c>
      <c r="H83" s="28">
        <f>G83/G$83</f>
        <v>1</v>
      </c>
    </row>
    <row r="84" spans="1:8">
      <c r="A84" s="22" t="s">
        <v>43</v>
      </c>
      <c r="B84" s="3" t="s">
        <v>44</v>
      </c>
      <c r="C84" s="2">
        <v>7.44</v>
      </c>
      <c r="D84" s="3" t="s">
        <v>45</v>
      </c>
      <c r="E84" s="31"/>
      <c r="F84" s="32"/>
      <c r="G84" s="33" t="s">
        <v>47</v>
      </c>
      <c r="H84" s="28">
        <f>SUM(H69:H80)</f>
        <v>1.0178359096313911</v>
      </c>
    </row>
    <row r="85" spans="1:8" ht="20.5" thickBot="1">
      <c r="A85" s="34" t="s">
        <v>2</v>
      </c>
      <c r="B85" s="35" t="s">
        <v>46</v>
      </c>
      <c r="C85" s="36"/>
      <c r="D85" s="35"/>
      <c r="E85" s="37"/>
      <c r="F85" s="38"/>
      <c r="G85" s="46">
        <f>G83*$C$84</f>
        <v>5.5618133333333342</v>
      </c>
      <c r="H85" s="39"/>
    </row>
    <row r="86" spans="1:8">
      <c r="C86" s="5"/>
      <c r="G86" s="5"/>
    </row>
    <row r="87" spans="1:8">
      <c r="C87" s="5"/>
      <c r="G87" s="5"/>
    </row>
    <row r="88" spans="1:8">
      <c r="C88" s="5"/>
      <c r="G88" s="5"/>
    </row>
    <row r="89" spans="1:8">
      <c r="C89" s="5"/>
      <c r="G89" s="5"/>
    </row>
    <row r="90" spans="1:8">
      <c r="C90" s="5"/>
      <c r="G90" s="5"/>
    </row>
    <row r="91" spans="1:8">
      <c r="C91" s="5"/>
      <c r="G91" s="5"/>
    </row>
    <row r="92" spans="1:8">
      <c r="C92" s="5"/>
      <c r="G92" s="5"/>
    </row>
    <row r="93" spans="1:8">
      <c r="C93" s="5"/>
      <c r="G93" s="5"/>
    </row>
    <row r="94" spans="1:8">
      <c r="C94" s="5"/>
      <c r="G94" s="5"/>
    </row>
    <row r="95" spans="1:8">
      <c r="C95" s="5"/>
      <c r="G95" s="5"/>
    </row>
    <row r="96" spans="1:8">
      <c r="C96" s="5"/>
      <c r="G96" s="5"/>
    </row>
    <row r="97" spans="3:7">
      <c r="C97" s="5"/>
      <c r="G97" s="5"/>
    </row>
    <row r="98" spans="3:7">
      <c r="C98" s="5"/>
    </row>
    <row r="99" spans="3:7">
      <c r="C99" s="5"/>
    </row>
    <row r="105" spans="3:7" ht="27.65" customHeight="1"/>
    <row r="113" spans="1:9">
      <c r="I113" s="4"/>
    </row>
    <row r="120" spans="1:9">
      <c r="C120" s="5"/>
      <c r="G120" s="5"/>
    </row>
    <row r="121" spans="1:9">
      <c r="C121" s="5"/>
      <c r="G121" s="5"/>
    </row>
    <row r="122" spans="1:9">
      <c r="C122" s="5"/>
      <c r="G122" s="5"/>
    </row>
    <row r="123" spans="1:9">
      <c r="A123" s="43"/>
      <c r="B123" s="42"/>
      <c r="C123" s="42"/>
      <c r="D123" s="43"/>
      <c r="E123" s="44"/>
      <c r="F123" s="44"/>
      <c r="G123" s="44"/>
      <c r="H123" s="45"/>
    </row>
    <row r="124" spans="1:9">
      <c r="A124" s="43"/>
      <c r="B124" s="42"/>
      <c r="C124" s="42"/>
      <c r="D124" s="43"/>
      <c r="E124" s="44"/>
      <c r="F124" s="44"/>
      <c r="G124" s="44"/>
      <c r="H124" s="45"/>
    </row>
    <row r="125" spans="1:9">
      <c r="A125" s="43"/>
      <c r="B125" s="42"/>
      <c r="C125" s="42"/>
      <c r="D125" s="43"/>
      <c r="E125" s="44"/>
      <c r="F125" s="44"/>
      <c r="G125" s="44"/>
      <c r="H125" s="45"/>
    </row>
    <row r="128" spans="1:9">
      <c r="C128" s="5"/>
      <c r="G128" s="5"/>
    </row>
    <row r="129" spans="3:7">
      <c r="C129" s="5"/>
      <c r="G129" s="5"/>
    </row>
    <row r="130" spans="3:7">
      <c r="C130" s="5"/>
      <c r="G130" s="5"/>
    </row>
    <row r="131" spans="3:7">
      <c r="C131" s="5"/>
      <c r="G131" s="5"/>
    </row>
    <row r="132" spans="3:7">
      <c r="C132" s="5"/>
      <c r="G132" s="5"/>
    </row>
    <row r="133" spans="3:7">
      <c r="C133" s="5"/>
      <c r="G133" s="5"/>
    </row>
    <row r="134" spans="3:7" ht="19.899999999999999" customHeight="1">
      <c r="C134" s="5"/>
      <c r="G134" s="5"/>
    </row>
    <row r="135" spans="3:7" ht="19.899999999999999" customHeight="1">
      <c r="C135" s="5"/>
      <c r="G135" s="5"/>
    </row>
    <row r="136" spans="3:7" ht="19.899999999999999" customHeight="1">
      <c r="C136" s="5"/>
      <c r="G136" s="5"/>
    </row>
    <row r="137" spans="3:7" ht="19.899999999999999" customHeight="1">
      <c r="C137" s="5"/>
      <c r="G137" s="5"/>
    </row>
    <row r="138" spans="3:7" ht="39.65" customHeight="1">
      <c r="C138" s="5"/>
      <c r="G138" s="5"/>
    </row>
    <row r="139" spans="3:7">
      <c r="C139" s="5"/>
      <c r="G139" s="5"/>
    </row>
    <row r="140" spans="3:7">
      <c r="C140" s="5"/>
      <c r="G140" s="5"/>
    </row>
    <row r="141" spans="3:7">
      <c r="C141" s="5"/>
      <c r="G141" s="5"/>
    </row>
    <row r="142" spans="3:7">
      <c r="C142" s="5"/>
      <c r="G142" s="5"/>
    </row>
    <row r="143" spans="3:7">
      <c r="C143" s="5"/>
      <c r="G143" s="5"/>
    </row>
    <row r="144" spans="3:7">
      <c r="C144" s="5"/>
      <c r="G144" s="5"/>
    </row>
    <row r="145" spans="3:7">
      <c r="C145" s="5"/>
      <c r="G145" s="5"/>
    </row>
    <row r="146" spans="3:7">
      <c r="C146" s="5"/>
      <c r="G146" s="5"/>
    </row>
  </sheetData>
  <mergeCells count="7">
    <mergeCell ref="A60:H60"/>
    <mergeCell ref="A62:B62"/>
    <mergeCell ref="A35:B35"/>
    <mergeCell ref="A1:H1"/>
    <mergeCell ref="A8:B8"/>
    <mergeCell ref="A6:H6"/>
    <mergeCell ref="A33:H33"/>
  </mergeCells>
  <phoneticPr fontId="14" type="noConversion"/>
  <conditionalFormatting sqref="H13">
    <cfRule type="cellIs" priority="8" operator="equal">
      <formula>0</formula>
    </cfRule>
  </conditionalFormatting>
  <conditionalFormatting sqref="H15:H16">
    <cfRule type="cellIs" priority="7" operator="equal">
      <formula>0</formula>
    </cfRule>
  </conditionalFormatting>
  <conditionalFormatting sqref="H18:H19">
    <cfRule type="cellIs" priority="6" operator="equal">
      <formula>0</formula>
    </cfRule>
  </conditionalFormatting>
  <conditionalFormatting sqref="H21:H22">
    <cfRule type="cellIs" priority="5" operator="equal">
      <formula>0</formula>
    </cfRule>
  </conditionalFormatting>
  <conditionalFormatting sqref="H24">
    <cfRule type="cellIs" priority="4" operator="equal">
      <formula>0</formula>
    </cfRule>
  </conditionalFormatting>
  <conditionalFormatting sqref="H26">
    <cfRule type="cellIs" priority="3" operator="equal">
      <formula>0</formula>
    </cfRule>
  </conditionalFormatting>
  <conditionalFormatting sqref="H40">
    <cfRule type="cellIs" priority="2" operator="equal">
      <formula>0</formula>
    </cfRule>
  </conditionalFormatting>
  <conditionalFormatting sqref="H67">
    <cfRule type="cellIs" priority="1" operator="equal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3f01c3-7657-47ac-91fe-aaf76832b5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E87AD8AD2D7E04FA9AB4C9431D6D3A2" ma:contentTypeVersion="15" ma:contentTypeDescription="Opret et nyt dokument." ma:contentTypeScope="" ma:versionID="3f29259dd6c257eb09c020b8d7f55928">
  <xsd:schema xmlns:xsd="http://www.w3.org/2001/XMLSchema" xmlns:xs="http://www.w3.org/2001/XMLSchema" xmlns:p="http://schemas.microsoft.com/office/2006/metadata/properties" xmlns:ns3="fb3f01c3-7657-47ac-91fe-aaf76832b51e" xmlns:ns4="b373e9f6-3e56-409e-a7d5-bfed8f1254e7" targetNamespace="http://schemas.microsoft.com/office/2006/metadata/properties" ma:root="true" ma:fieldsID="a17cdb0bf6c97ba4c117faa27ff11ece" ns3:_="" ns4:_="">
    <xsd:import namespace="fb3f01c3-7657-47ac-91fe-aaf76832b51e"/>
    <xsd:import namespace="b373e9f6-3e56-409e-a7d5-bfed8f1254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f01c3-7657-47ac-91fe-aaf76832b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3e9f6-3e56-409e-a7d5-bfed8f1254e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værdi for deling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C00AE5-FB42-481F-9239-6A21331ABDBA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b373e9f6-3e56-409e-a7d5-bfed8f1254e7"/>
    <ds:schemaRef ds:uri="fb3f01c3-7657-47ac-91fe-aaf76832b51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750315B-0A6B-4949-948D-199B208F13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24858F-2643-442E-8813-4D2B50CC2E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3f01c3-7657-47ac-91fe-aaf76832b51e"/>
    <ds:schemaRef ds:uri="b373e9f6-3e56-409e-a7d5-bfed8f125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cycle costing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Jolliet</dc:creator>
  <cp:lastModifiedBy>Stig Irving Olsen</cp:lastModifiedBy>
  <dcterms:created xsi:type="dcterms:W3CDTF">2018-03-14T16:19:16Z</dcterms:created>
  <dcterms:modified xsi:type="dcterms:W3CDTF">2026-05-14T07:41:46Z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0x0101001E87AD8AD2D7E04FA9AB4C9431D6D3A2</vt:lpwstr>
  </property>
</Properties>
</file>